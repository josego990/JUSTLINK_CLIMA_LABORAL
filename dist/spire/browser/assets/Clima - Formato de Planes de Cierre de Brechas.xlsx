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uanjosegonzalez/Downloads/"/>
    </mc:Choice>
  </mc:AlternateContent>
  <xr:revisionPtr revIDLastSave="0" documentId="13_ncr:1_{31D3FA5D-E320-2345-B831-A0ED9BBECBB9}" xr6:coauthVersionLast="47" xr6:coauthVersionMax="47" xr10:uidLastSave="{00000000-0000-0000-0000-000000000000}"/>
  <bookViews>
    <workbookView xWindow="36000" yWindow="0" windowWidth="34400" windowHeight="14400" activeTab="4" xr2:uid="{1EF6D864-57FC-40D1-93F0-F6FAF3FAE7BA}"/>
  </bookViews>
  <sheets>
    <sheet name="Flujograma" sheetId="9" r:id="rId1"/>
    <sheet name="Tabla Requerimientos y Progreso" sheetId="4" r:id="rId2"/>
    <sheet name="Template de Plan" sheetId="10" r:id="rId3"/>
    <sheet name="Gantt de Progreso" sheetId="3" r:id="rId4"/>
    <sheet name="Plan General" sheetId="2" r:id="rId5"/>
    <sheet name="Dashboard de Requerimientos" sheetId="5" r:id="rId6"/>
  </sheets>
  <definedNames>
    <definedName name="Hoy" localSheetId="3">TODAY()</definedName>
    <definedName name="Incremento_de_desplazamiento" localSheetId="3">'Gantt de Progreso'!$D$7</definedName>
    <definedName name="Inicio_del_proyecto" localSheetId="3">'Gantt de Progreso'!$D$6</definedName>
    <definedName name="_xlnm.Print_Titles" localSheetId="3">'Gantt de Progreso'!$6:$10</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3" l="1"/>
  <c r="I30" i="3"/>
  <c r="H30" i="3"/>
  <c r="H24" i="3" s="1"/>
  <c r="H18" i="3" s="1"/>
  <c r="K24" i="3"/>
  <c r="I24" i="3"/>
  <c r="K18" i="3"/>
  <c r="I18" i="3"/>
  <c r="H11" i="3"/>
  <c r="K11" i="3"/>
  <c r="I11" i="3"/>
  <c r="M7" i="3"/>
  <c r="M14" i="3" s="1"/>
  <c r="N7" i="3" l="1"/>
  <c r="N24" i="3" s="1"/>
  <c r="M11" i="3"/>
  <c r="M13" i="3"/>
  <c r="M6" i="3"/>
  <c r="M16" i="3"/>
  <c r="M18" i="3"/>
  <c r="M12" i="3"/>
  <c r="M30" i="3"/>
  <c r="M29" i="3"/>
  <c r="M28" i="3"/>
  <c r="M26" i="3"/>
  <c r="M25" i="3"/>
  <c r="M32" i="3"/>
  <c r="M31" i="3"/>
  <c r="M24" i="3"/>
  <c r="M21" i="3"/>
  <c r="M20" i="3"/>
  <c r="M23" i="3"/>
  <c r="M22" i="3"/>
  <c r="M19" i="3"/>
  <c r="M10" i="3"/>
  <c r="M15" i="3"/>
  <c r="N12" i="3" l="1"/>
  <c r="N14" i="3"/>
  <c r="N13" i="3"/>
  <c r="N10" i="3"/>
  <c r="N21" i="3"/>
  <c r="O7" i="3"/>
  <c r="O25" i="3" s="1"/>
  <c r="N11" i="3"/>
  <c r="N16" i="3"/>
  <c r="N19" i="3"/>
  <c r="N18" i="3"/>
  <c r="N25" i="3"/>
  <c r="N26" i="3"/>
  <c r="N31" i="3"/>
  <c r="N32" i="3"/>
  <c r="N15" i="3"/>
  <c r="N22" i="3"/>
  <c r="N23" i="3"/>
  <c r="N29" i="3"/>
  <c r="N20" i="3"/>
  <c r="N28" i="3"/>
  <c r="N30" i="3"/>
  <c r="O21" i="3" l="1"/>
  <c r="O26" i="3"/>
  <c r="O22" i="3"/>
  <c r="O28" i="3"/>
  <c r="O24" i="3"/>
  <c r="O10" i="3"/>
  <c r="P7" i="3"/>
  <c r="P23" i="3" s="1"/>
  <c r="O29" i="3"/>
  <c r="O12" i="3"/>
  <c r="O14" i="3"/>
  <c r="O15" i="3"/>
  <c r="O13" i="3"/>
  <c r="O16" i="3"/>
  <c r="O30" i="3"/>
  <c r="O11" i="3"/>
  <c r="O18" i="3"/>
  <c r="O31" i="3"/>
  <c r="O20" i="3"/>
  <c r="O19" i="3"/>
  <c r="O32" i="3"/>
  <c r="O23" i="3"/>
  <c r="P21" i="3" l="1"/>
  <c r="P24" i="3"/>
  <c r="P25" i="3"/>
  <c r="P20" i="3"/>
  <c r="P11" i="3"/>
  <c r="P26" i="3"/>
  <c r="P28" i="3"/>
  <c r="P14" i="3"/>
  <c r="Q7" i="3"/>
  <c r="Q25" i="3" s="1"/>
  <c r="P15" i="3"/>
  <c r="P32" i="3"/>
  <c r="P12" i="3"/>
  <c r="P16" i="3"/>
  <c r="P10" i="3"/>
  <c r="P29" i="3"/>
  <c r="P13" i="3"/>
  <c r="P19" i="3"/>
  <c r="P18" i="3"/>
  <c r="P22" i="3"/>
  <c r="P30" i="3"/>
  <c r="P31" i="3"/>
  <c r="Q21" i="3" l="1"/>
  <c r="Q18" i="3"/>
  <c r="Q20" i="3"/>
  <c r="Q26" i="3"/>
  <c r="Q28" i="3"/>
  <c r="Q29" i="3"/>
  <c r="Q16" i="3"/>
  <c r="Q10" i="3"/>
  <c r="Q11" i="3"/>
  <c r="Q30" i="3"/>
  <c r="Q12" i="3"/>
  <c r="Q15" i="3"/>
  <c r="Q23" i="3"/>
  <c r="Q32" i="3"/>
  <c r="R7" i="3"/>
  <c r="R31" i="3" s="1"/>
  <c r="Q22" i="3"/>
  <c r="Q13" i="3"/>
  <c r="Q24" i="3"/>
  <c r="Q19" i="3"/>
  <c r="Q31" i="3"/>
  <c r="Q14" i="3"/>
  <c r="R21" i="3" l="1"/>
  <c r="R22" i="3"/>
  <c r="R23" i="3"/>
  <c r="R10" i="3"/>
  <c r="R30" i="3"/>
  <c r="R32" i="3"/>
  <c r="R29" i="3"/>
  <c r="S7" i="3"/>
  <c r="S26" i="3" s="1"/>
  <c r="R11" i="3"/>
  <c r="R12" i="3"/>
  <c r="R13" i="3"/>
  <c r="R16" i="3"/>
  <c r="R26" i="3"/>
  <c r="R18" i="3"/>
  <c r="R24" i="3"/>
  <c r="R19" i="3"/>
  <c r="R15" i="3"/>
  <c r="R14" i="3"/>
  <c r="R20" i="3"/>
  <c r="R28" i="3"/>
  <c r="R25" i="3"/>
  <c r="S29" i="3" l="1"/>
  <c r="S30" i="3"/>
  <c r="S11" i="3"/>
  <c r="S23" i="3"/>
  <c r="S14" i="3"/>
  <c r="T7" i="3"/>
  <c r="S32" i="3"/>
  <c r="S24" i="3"/>
  <c r="S13" i="3"/>
  <c r="S20" i="3"/>
  <c r="S31" i="3"/>
  <c r="S18" i="3"/>
  <c r="S10" i="3"/>
  <c r="S21" i="3"/>
  <c r="S12" i="3"/>
  <c r="S25" i="3"/>
  <c r="S15" i="3"/>
  <c r="S16" i="3"/>
  <c r="S19" i="3"/>
  <c r="S28" i="3"/>
  <c r="S22" i="3"/>
  <c r="T12" i="3" l="1"/>
  <c r="T14" i="3"/>
  <c r="T15" i="3"/>
  <c r="T10" i="3"/>
  <c r="T11" i="3"/>
  <c r="T6" i="3"/>
  <c r="T16" i="3"/>
  <c r="T13" i="3"/>
  <c r="U7" i="3"/>
  <c r="U15" i="3" l="1"/>
  <c r="U10" i="3"/>
  <c r="V7" i="3"/>
  <c r="U16" i="3"/>
  <c r="U12" i="3"/>
  <c r="U13" i="3"/>
  <c r="U14" i="3"/>
  <c r="U11" i="3"/>
  <c r="V15" i="3" l="1"/>
  <c r="W7" i="3"/>
  <c r="V11" i="3"/>
  <c r="V10" i="3"/>
  <c r="V16" i="3"/>
  <c r="V12" i="3"/>
  <c r="V14" i="3"/>
  <c r="V13" i="3"/>
  <c r="X7" i="3" l="1"/>
  <c r="W15" i="3"/>
  <c r="W10" i="3"/>
  <c r="W11" i="3"/>
  <c r="W13" i="3"/>
  <c r="W12" i="3"/>
  <c r="W14" i="3"/>
  <c r="W16" i="3"/>
  <c r="X13" i="3" l="1"/>
  <c r="X14" i="3"/>
  <c r="X12" i="3"/>
  <c r="X10" i="3"/>
  <c r="X15" i="3"/>
  <c r="Y7" i="3"/>
  <c r="X16" i="3"/>
  <c r="X11" i="3"/>
  <c r="Y10" i="3" l="1"/>
  <c r="Y16" i="3"/>
  <c r="Y12" i="3"/>
  <c r="Z7" i="3"/>
  <c r="Y11" i="3"/>
  <c r="Y13" i="3"/>
  <c r="Y15" i="3"/>
  <c r="Y14" i="3"/>
  <c r="AA7" i="3" l="1"/>
  <c r="Z11" i="3"/>
  <c r="Z12" i="3"/>
  <c r="Z10" i="3"/>
  <c r="Z13" i="3"/>
  <c r="Z14" i="3"/>
  <c r="Z16" i="3"/>
  <c r="Z15" i="3"/>
  <c r="AA16" i="3" l="1"/>
  <c r="AA6" i="3"/>
  <c r="AA14" i="3"/>
  <c r="AA10" i="3"/>
  <c r="AA12" i="3"/>
  <c r="AA11" i="3"/>
  <c r="AB7" i="3"/>
  <c r="AA15" i="3"/>
  <c r="AA13" i="3"/>
  <c r="AB16" i="3" l="1"/>
  <c r="AB14" i="3"/>
  <c r="AB13" i="3"/>
  <c r="AC7" i="3"/>
  <c r="AB15" i="3"/>
  <c r="AB10" i="3"/>
  <c r="AB11" i="3"/>
  <c r="AB12" i="3"/>
  <c r="AC12" i="3" l="1"/>
  <c r="AC10" i="3"/>
  <c r="AC11" i="3"/>
  <c r="AD7" i="3"/>
  <c r="AC16" i="3"/>
  <c r="AC15" i="3"/>
  <c r="AC13" i="3"/>
  <c r="AC14" i="3"/>
  <c r="AD15" i="3" l="1"/>
  <c r="AD13" i="3"/>
  <c r="AD14" i="3"/>
  <c r="AD16" i="3"/>
  <c r="AE7" i="3"/>
  <c r="AD11" i="3"/>
  <c r="AD12" i="3"/>
  <c r="AD10" i="3"/>
  <c r="AE11" i="3" l="1"/>
  <c r="AE12" i="3"/>
  <c r="AE13" i="3"/>
  <c r="AE14" i="3"/>
  <c r="AE15" i="3"/>
  <c r="AE16" i="3"/>
  <c r="AE10" i="3"/>
  <c r="AF7" i="3"/>
  <c r="AF10" i="3" l="1"/>
  <c r="AF11" i="3"/>
  <c r="AG7" i="3"/>
  <c r="AF12" i="3"/>
  <c r="AF13" i="3"/>
  <c r="AF15" i="3"/>
  <c r="AF16" i="3"/>
  <c r="AF14" i="3"/>
  <c r="AG12" i="3" l="1"/>
  <c r="AG11" i="3"/>
  <c r="AG13" i="3"/>
  <c r="AG15" i="3"/>
  <c r="AG10" i="3"/>
  <c r="AG14" i="3"/>
  <c r="AG16" i="3"/>
  <c r="AH7" i="3"/>
  <c r="AH11" i="3" l="1"/>
  <c r="AH15" i="3"/>
  <c r="AH14" i="3"/>
  <c r="AH10" i="3"/>
  <c r="AH16" i="3"/>
  <c r="AI7" i="3"/>
  <c r="AH12" i="3"/>
  <c r="AH6" i="3"/>
  <c r="AH13" i="3"/>
  <c r="AI10" i="3" l="1"/>
  <c r="AI11" i="3"/>
  <c r="AI12" i="3"/>
  <c r="AI16" i="3"/>
  <c r="AI14" i="3"/>
  <c r="AI15" i="3"/>
  <c r="AJ7" i="3"/>
  <c r="AI13" i="3"/>
  <c r="AJ14" i="3" l="1"/>
  <c r="AJ13" i="3"/>
  <c r="AK7" i="3"/>
  <c r="AJ12" i="3"/>
  <c r="AJ10" i="3"/>
  <c r="AJ11" i="3"/>
  <c r="AJ16" i="3"/>
  <c r="AJ15" i="3"/>
  <c r="AK15" i="3" l="1"/>
  <c r="AK16" i="3"/>
  <c r="AK14" i="3"/>
  <c r="AK12" i="3"/>
  <c r="AL7" i="3"/>
  <c r="AK10" i="3"/>
  <c r="AK11" i="3"/>
  <c r="AK13" i="3"/>
  <c r="AL13" i="3" l="1"/>
  <c r="AM7" i="3"/>
  <c r="AL10" i="3"/>
  <c r="AL11" i="3"/>
  <c r="AL16" i="3"/>
  <c r="AL12" i="3"/>
  <c r="AL15" i="3"/>
  <c r="AL14" i="3"/>
  <c r="AM13" i="3" l="1"/>
  <c r="AN7" i="3"/>
  <c r="AM12" i="3"/>
  <c r="AM14" i="3"/>
  <c r="AM15" i="3"/>
  <c r="AM10" i="3"/>
  <c r="AM16" i="3"/>
  <c r="AM11" i="3"/>
  <c r="AN14" i="3" l="1"/>
  <c r="AN10" i="3"/>
  <c r="AN15" i="3"/>
  <c r="AN12" i="3"/>
  <c r="AO7" i="3"/>
  <c r="AN13" i="3"/>
  <c r="AN16" i="3"/>
  <c r="AN11" i="3"/>
  <c r="AO6" i="3" l="1"/>
  <c r="AO12" i="3"/>
  <c r="AO10" i="3"/>
  <c r="AO13" i="3"/>
  <c r="AO11" i="3"/>
  <c r="AO16" i="3"/>
  <c r="AO14" i="3"/>
  <c r="AP7" i="3"/>
  <c r="AO15" i="3"/>
  <c r="AP13" i="3" l="1"/>
  <c r="AP14" i="3"/>
  <c r="AP10" i="3"/>
  <c r="AP12" i="3"/>
  <c r="AP16" i="3"/>
  <c r="AP11" i="3"/>
  <c r="AP15" i="3"/>
  <c r="AQ7" i="3"/>
  <c r="AQ14" i="3" l="1"/>
  <c r="AQ12" i="3"/>
  <c r="AQ11" i="3"/>
  <c r="AR7" i="3"/>
  <c r="AQ13" i="3"/>
  <c r="AQ16" i="3"/>
  <c r="AQ15" i="3"/>
  <c r="AQ10" i="3"/>
  <c r="AR13" i="3" l="1"/>
  <c r="AS7" i="3"/>
  <c r="AR15" i="3"/>
  <c r="AR11" i="3"/>
  <c r="AR16" i="3"/>
  <c r="AR12" i="3"/>
  <c r="AR14" i="3"/>
  <c r="AR10" i="3"/>
  <c r="AS14" i="3" l="1"/>
  <c r="AT7" i="3"/>
  <c r="AS12" i="3"/>
  <c r="AS16" i="3"/>
  <c r="AS10" i="3"/>
  <c r="AS13" i="3"/>
  <c r="AS15" i="3"/>
  <c r="AS11" i="3"/>
  <c r="AT15" i="3" l="1"/>
  <c r="AT12" i="3"/>
  <c r="AU7" i="3"/>
  <c r="AU31" i="3" s="1"/>
  <c r="AT14" i="3"/>
  <c r="AT13" i="3"/>
  <c r="AT11" i="3"/>
  <c r="AT16" i="3"/>
  <c r="AT10" i="3"/>
  <c r="AU23" i="3" l="1"/>
  <c r="AU12" i="3"/>
  <c r="AU25" i="3"/>
  <c r="AU19" i="3"/>
  <c r="AU24" i="3"/>
  <c r="AU11" i="3"/>
  <c r="AU13" i="3"/>
  <c r="AU10" i="3"/>
  <c r="AU28" i="3"/>
  <c r="AU26" i="3"/>
  <c r="AV7" i="3"/>
  <c r="AV26" i="3" s="1"/>
  <c r="AU15" i="3"/>
  <c r="AU20" i="3"/>
  <c r="AU14" i="3"/>
  <c r="AU16" i="3"/>
  <c r="AU22" i="3"/>
  <c r="AU18" i="3"/>
  <c r="AU29" i="3"/>
  <c r="AU21" i="3"/>
  <c r="AU32" i="3"/>
  <c r="AV11" i="3" l="1"/>
  <c r="AV14" i="3"/>
  <c r="AV31" i="3"/>
  <c r="AV24" i="3"/>
  <c r="AV10" i="3"/>
  <c r="AV6" i="3"/>
  <c r="AV23" i="3"/>
  <c r="AV12" i="3"/>
  <c r="AV19" i="3"/>
  <c r="AV28" i="3"/>
  <c r="AV32" i="3"/>
  <c r="AV18" i="3"/>
  <c r="AV13" i="3"/>
  <c r="AV22" i="3"/>
  <c r="AV21" i="3"/>
  <c r="AV29" i="3"/>
  <c r="AW7" i="3"/>
  <c r="AW28" i="3" s="1"/>
  <c r="AV16" i="3"/>
  <c r="AV25" i="3"/>
  <c r="AV20" i="3"/>
  <c r="AV15" i="3"/>
  <c r="AW12" i="3" l="1"/>
  <c r="AW14" i="3"/>
  <c r="AW29" i="3"/>
  <c r="AW10" i="3"/>
  <c r="AW18" i="3"/>
  <c r="AW13" i="3"/>
  <c r="AW30" i="3"/>
  <c r="AW11" i="3"/>
  <c r="AW22" i="3"/>
  <c r="AW31" i="3"/>
  <c r="AW15" i="3"/>
  <c r="AW23" i="3"/>
  <c r="AW32" i="3"/>
  <c r="AW24" i="3"/>
  <c r="AW21" i="3"/>
  <c r="AX7" i="3"/>
  <c r="AX23" i="3" s="1"/>
  <c r="AW20" i="3"/>
  <c r="AW25" i="3"/>
  <c r="AW19" i="3"/>
  <c r="AW26" i="3"/>
  <c r="AW16" i="3"/>
  <c r="AX15" i="3" l="1"/>
  <c r="AX21" i="3"/>
  <c r="AX12" i="3"/>
  <c r="AX28" i="3"/>
  <c r="AX11" i="3"/>
  <c r="AX16" i="3"/>
  <c r="AX20" i="3"/>
  <c r="AX19" i="3"/>
  <c r="AX14" i="3"/>
  <c r="AY7" i="3"/>
  <c r="AY26" i="3" s="1"/>
  <c r="AX26" i="3"/>
  <c r="AX30" i="3"/>
  <c r="AX25" i="3"/>
  <c r="AX18" i="3"/>
  <c r="AX32" i="3"/>
  <c r="AX31" i="3"/>
  <c r="AX10" i="3"/>
  <c r="AX24" i="3"/>
  <c r="AX22" i="3"/>
  <c r="AX13" i="3"/>
  <c r="AX29" i="3"/>
  <c r="AY16" i="3" l="1"/>
  <c r="AY14" i="3"/>
  <c r="AY28" i="3"/>
  <c r="AY10" i="3"/>
  <c r="AY13" i="3"/>
  <c r="AY22" i="3"/>
  <c r="AY32" i="3"/>
  <c r="AY18" i="3"/>
  <c r="AY20" i="3"/>
  <c r="AY21" i="3"/>
  <c r="AY19" i="3"/>
  <c r="AY12" i="3"/>
  <c r="AY31" i="3"/>
  <c r="AY24" i="3"/>
  <c r="AY25" i="3"/>
  <c r="AY29" i="3"/>
  <c r="AY30" i="3"/>
  <c r="AY23" i="3"/>
  <c r="AZ7" i="3"/>
  <c r="AZ19" i="3" s="1"/>
  <c r="AY11" i="3"/>
  <c r="AY15" i="3"/>
  <c r="BA7" i="3" l="1"/>
  <c r="BA24" i="3" s="1"/>
  <c r="AZ20" i="3"/>
  <c r="AZ11" i="3"/>
  <c r="AZ14" i="3"/>
  <c r="AZ28" i="3"/>
  <c r="AZ22" i="3"/>
  <c r="AZ23" i="3"/>
  <c r="AZ21" i="3"/>
  <c r="AZ18" i="3"/>
  <c r="AZ26" i="3"/>
  <c r="AZ30" i="3"/>
  <c r="AZ12" i="3"/>
  <c r="AZ25" i="3"/>
  <c r="AZ10" i="3"/>
  <c r="AZ32" i="3"/>
  <c r="AZ15" i="3"/>
  <c r="AZ16" i="3"/>
  <c r="AZ31" i="3"/>
  <c r="AZ24" i="3"/>
  <c r="AZ13" i="3"/>
  <c r="AZ29" i="3"/>
  <c r="BA25" i="3" l="1"/>
  <c r="BB7" i="3"/>
  <c r="BB25" i="3" s="1"/>
  <c r="BA11" i="3"/>
  <c r="BA29" i="3"/>
  <c r="BA12" i="3"/>
  <c r="BA28" i="3"/>
  <c r="BA16" i="3"/>
  <c r="BA23" i="3"/>
  <c r="BA10" i="3"/>
  <c r="BA26" i="3"/>
  <c r="BA14" i="3"/>
  <c r="BA19" i="3"/>
  <c r="BA13" i="3"/>
  <c r="BA18" i="3"/>
  <c r="BA22" i="3"/>
  <c r="BA20" i="3"/>
  <c r="BA21" i="3"/>
  <c r="BA31" i="3"/>
  <c r="BA30" i="3"/>
  <c r="BA15" i="3"/>
  <c r="BA32" i="3"/>
  <c r="BB26" i="3" l="1"/>
  <c r="BB19" i="3"/>
  <c r="BB24" i="3"/>
  <c r="BB28" i="3"/>
  <c r="BC7" i="3"/>
  <c r="BC32" i="3" s="1"/>
  <c r="BB15" i="3"/>
  <c r="BB21" i="3"/>
  <c r="BB11" i="3"/>
  <c r="BB18" i="3"/>
  <c r="BB16" i="3"/>
  <c r="BB22" i="3"/>
  <c r="BB31" i="3"/>
  <c r="BB12" i="3"/>
  <c r="BB29" i="3"/>
  <c r="BB10" i="3"/>
  <c r="BB23" i="3"/>
  <c r="BB20" i="3"/>
  <c r="BB14" i="3"/>
  <c r="BB30" i="3"/>
  <c r="BB32" i="3"/>
  <c r="BB13" i="3"/>
  <c r="BC21" i="3" l="1"/>
  <c r="BC12" i="3"/>
  <c r="BC13" i="3"/>
  <c r="BC10" i="3"/>
  <c r="BD7" i="3"/>
  <c r="BD23" i="3" s="1"/>
  <c r="BC16" i="3"/>
  <c r="BC19" i="3"/>
  <c r="BC23" i="3"/>
  <c r="BC6" i="3"/>
  <c r="BC14" i="3"/>
  <c r="BC18" i="3"/>
  <c r="BC22" i="3"/>
  <c r="BC11" i="3"/>
  <c r="BC20" i="3"/>
  <c r="BC24" i="3"/>
  <c r="BC26" i="3"/>
  <c r="BC15" i="3"/>
  <c r="BC25" i="3"/>
  <c r="BC28" i="3"/>
  <c r="BC29" i="3"/>
  <c r="BC30" i="3"/>
  <c r="BC31" i="3"/>
  <c r="BD15" i="3" l="1"/>
  <c r="BD12" i="3"/>
  <c r="BD13" i="3"/>
  <c r="BE7" i="3"/>
  <c r="BE24" i="3" s="1"/>
  <c r="BD10" i="3"/>
  <c r="BD14" i="3"/>
  <c r="BD16" i="3"/>
  <c r="BD26" i="3"/>
  <c r="BD31" i="3"/>
  <c r="BD21" i="3"/>
  <c r="BD30" i="3"/>
  <c r="BD19" i="3"/>
  <c r="BD11" i="3"/>
  <c r="BD22" i="3"/>
  <c r="BD24" i="3"/>
  <c r="BD28" i="3"/>
  <c r="BD25" i="3"/>
  <c r="BD29" i="3"/>
  <c r="BD18" i="3"/>
  <c r="BD20" i="3"/>
  <c r="BD32" i="3"/>
  <c r="BE14" i="3" l="1"/>
  <c r="BE12" i="3"/>
  <c r="BE11" i="3"/>
  <c r="BE25" i="3"/>
  <c r="BE26" i="3"/>
  <c r="BE19" i="3"/>
  <c r="BE15" i="3"/>
  <c r="BE16" i="3"/>
  <c r="BE29" i="3"/>
  <c r="BE18" i="3"/>
  <c r="BE30" i="3"/>
  <c r="BE22" i="3"/>
  <c r="BE21" i="3"/>
  <c r="BE13" i="3"/>
  <c r="BE28" i="3"/>
  <c r="BE10" i="3"/>
  <c r="BE20" i="3"/>
  <c r="BE31" i="3"/>
  <c r="BF7" i="3"/>
  <c r="BF15" i="3" s="1"/>
  <c r="BE23" i="3"/>
  <c r="BE32" i="3"/>
  <c r="BF18" i="3" l="1"/>
  <c r="BF28" i="3"/>
  <c r="BF16" i="3"/>
  <c r="BF11" i="3"/>
  <c r="BF29" i="3"/>
  <c r="BF24" i="3"/>
  <c r="BF32" i="3"/>
  <c r="BF26" i="3"/>
  <c r="BF19" i="3"/>
  <c r="BG7" i="3"/>
  <c r="BG31" i="3" s="1"/>
  <c r="BF25" i="3"/>
  <c r="BF22" i="3"/>
  <c r="BF30" i="3"/>
  <c r="BF12" i="3"/>
  <c r="BF20" i="3"/>
  <c r="BF13" i="3"/>
  <c r="BF21" i="3"/>
  <c r="BF31" i="3"/>
  <c r="BF14" i="3"/>
  <c r="BF23" i="3"/>
  <c r="BF10" i="3"/>
  <c r="BG10" i="3" l="1"/>
  <c r="BG16" i="3"/>
  <c r="BG14" i="3"/>
  <c r="BG23" i="3"/>
  <c r="BG22" i="3"/>
  <c r="BG20" i="3"/>
  <c r="BG11" i="3"/>
  <c r="BG12" i="3"/>
  <c r="BG24" i="3"/>
  <c r="BG25" i="3"/>
  <c r="BG30" i="3"/>
  <c r="BH7" i="3"/>
  <c r="BH23" i="3" s="1"/>
  <c r="BG26" i="3"/>
  <c r="BG18" i="3"/>
  <c r="BG28" i="3"/>
  <c r="BG32" i="3"/>
  <c r="BG15" i="3"/>
  <c r="BG19" i="3"/>
  <c r="BG29" i="3"/>
  <c r="BG13" i="3"/>
  <c r="BG21" i="3"/>
  <c r="BH12" i="3" l="1"/>
  <c r="BH19" i="3"/>
  <c r="BH31" i="3"/>
  <c r="BH13" i="3"/>
  <c r="BH16" i="3"/>
  <c r="BH10" i="3"/>
  <c r="BH14" i="3"/>
  <c r="BH30" i="3"/>
  <c r="BH18" i="3"/>
  <c r="BI7" i="3"/>
  <c r="BI26" i="3" s="1"/>
  <c r="BH24" i="3"/>
  <c r="BH11" i="3"/>
  <c r="BH26" i="3"/>
  <c r="BH22" i="3"/>
  <c r="BH28" i="3"/>
  <c r="BH32" i="3"/>
  <c r="BH25" i="3"/>
  <c r="BH20" i="3"/>
  <c r="BH21" i="3"/>
  <c r="BH15" i="3"/>
  <c r="BH29" i="3"/>
  <c r="BI13" i="3" l="1"/>
  <c r="BI14" i="3"/>
  <c r="BI11" i="3"/>
  <c r="BI10" i="3"/>
  <c r="BI30" i="3"/>
  <c r="BI22" i="3"/>
  <c r="BJ7" i="3"/>
  <c r="BJ32" i="3" s="1"/>
  <c r="BI23" i="3"/>
  <c r="BI19" i="3"/>
  <c r="BI24" i="3"/>
  <c r="BI16" i="3"/>
  <c r="BI20" i="3"/>
  <c r="BI28" i="3"/>
  <c r="BI29" i="3"/>
  <c r="BI31" i="3"/>
  <c r="BI32" i="3"/>
  <c r="BI18" i="3"/>
  <c r="BI25" i="3"/>
  <c r="BI12" i="3"/>
  <c r="BI15" i="3"/>
  <c r="BI21" i="3"/>
  <c r="BJ10" i="3" l="1"/>
  <c r="BJ23" i="3"/>
  <c r="BJ24" i="3"/>
  <c r="BJ25" i="3"/>
  <c r="BJ26" i="3"/>
  <c r="BJ18" i="3"/>
  <c r="BJ11" i="3"/>
  <c r="BJ12" i="3"/>
  <c r="BJ15" i="3"/>
  <c r="BJ28" i="3"/>
  <c r="BJ22" i="3"/>
  <c r="BJ20" i="3"/>
  <c r="BJ21" i="3"/>
  <c r="BJ14" i="3"/>
  <c r="BJ19" i="3"/>
  <c r="BJ29" i="3"/>
  <c r="BJ30" i="3"/>
  <c r="BJ13" i="3"/>
  <c r="BJ31" i="3"/>
  <c r="BJ6" i="3"/>
  <c r="BK7" i="3"/>
  <c r="BK32" i="3" s="1"/>
  <c r="BJ16" i="3"/>
  <c r="BK13" i="3" l="1"/>
  <c r="BK24" i="3"/>
  <c r="BK26" i="3"/>
  <c r="BL7" i="3"/>
  <c r="BL25" i="3" s="1"/>
  <c r="BK29" i="3"/>
  <c r="BK15" i="3"/>
  <c r="BK19" i="3"/>
  <c r="BK23" i="3"/>
  <c r="BK25" i="3"/>
  <c r="BK11" i="3"/>
  <c r="BK12" i="3"/>
  <c r="BK10" i="3"/>
  <c r="BK14" i="3"/>
  <c r="BK28" i="3"/>
  <c r="BK30" i="3"/>
  <c r="BK16" i="3"/>
  <c r="BK18" i="3"/>
  <c r="BK22" i="3"/>
  <c r="BK31" i="3"/>
  <c r="BK20" i="3"/>
  <c r="BK21" i="3"/>
  <c r="BL26" i="3" l="1"/>
  <c r="BL23" i="3"/>
  <c r="BL14" i="3"/>
  <c r="BM7" i="3"/>
  <c r="BM24" i="3" s="1"/>
  <c r="BL19" i="3"/>
  <c r="BL11" i="3"/>
  <c r="BL22" i="3"/>
  <c r="BL12" i="3"/>
  <c r="BL30" i="3"/>
  <c r="BL13" i="3"/>
  <c r="BL15" i="3"/>
  <c r="BL28" i="3"/>
  <c r="BL16" i="3"/>
  <c r="BL29" i="3"/>
  <c r="BL18" i="3"/>
  <c r="BL32" i="3"/>
  <c r="BL31" i="3"/>
  <c r="BL21" i="3"/>
  <c r="BL10" i="3"/>
  <c r="BL20" i="3"/>
  <c r="BL24" i="3"/>
  <c r="BM32" i="3" l="1"/>
  <c r="BM29" i="3"/>
  <c r="BM26" i="3"/>
  <c r="BM25" i="3"/>
  <c r="BM23" i="3"/>
  <c r="BM22" i="3"/>
  <c r="BM18" i="3"/>
  <c r="BM16" i="3"/>
  <c r="BM20" i="3"/>
  <c r="BM19" i="3"/>
  <c r="BM12" i="3"/>
  <c r="BM21" i="3"/>
  <c r="BM15" i="3"/>
  <c r="BM28" i="3"/>
  <c r="BM11" i="3"/>
  <c r="BN7" i="3"/>
  <c r="BM14" i="3"/>
  <c r="BM10" i="3"/>
  <c r="BM13" i="3"/>
  <c r="BM30" i="3"/>
  <c r="BM31" i="3"/>
  <c r="BN32" i="3" l="1"/>
  <c r="BN23" i="3"/>
  <c r="BN22" i="3"/>
  <c r="BN21" i="3"/>
  <c r="BN20" i="3"/>
  <c r="BN18" i="3"/>
  <c r="BN16" i="3"/>
  <c r="BN15" i="3"/>
  <c r="BN14" i="3"/>
  <c r="BN26" i="3"/>
  <c r="BN30" i="3"/>
  <c r="BN28" i="3"/>
  <c r="BN31" i="3"/>
  <c r="BN29" i="3"/>
  <c r="BN24" i="3"/>
  <c r="BN11" i="3"/>
  <c r="BN10" i="3"/>
  <c r="BO7" i="3"/>
  <c r="BN12" i="3"/>
  <c r="BN19" i="3"/>
  <c r="BN25" i="3"/>
  <c r="BN13" i="3"/>
  <c r="BO32" i="3" l="1"/>
  <c r="BO31" i="3"/>
  <c r="BO30" i="3"/>
  <c r="BO29" i="3"/>
  <c r="BO28" i="3"/>
  <c r="BO26" i="3"/>
  <c r="BO25" i="3"/>
  <c r="BO24" i="3"/>
  <c r="BO22" i="3"/>
  <c r="BO21" i="3"/>
  <c r="BO20" i="3"/>
  <c r="BO23" i="3"/>
  <c r="BO19" i="3"/>
  <c r="BO16" i="3"/>
  <c r="BO15" i="3"/>
  <c r="BP7" i="3"/>
  <c r="BO11" i="3"/>
  <c r="BO14" i="3"/>
  <c r="BO10" i="3"/>
  <c r="BO13" i="3"/>
  <c r="BO18" i="3"/>
  <c r="BO12" i="3"/>
  <c r="BP21" i="3" l="1"/>
  <c r="BP32" i="3"/>
  <c r="BP31" i="3"/>
  <c r="BP30" i="3"/>
  <c r="BP23" i="3"/>
  <c r="BP20" i="3"/>
  <c r="BP15" i="3"/>
  <c r="BP13" i="3"/>
  <c r="BP19" i="3"/>
  <c r="BP26" i="3"/>
  <c r="BP28" i="3"/>
  <c r="BP29" i="3"/>
  <c r="BP24" i="3"/>
  <c r="BP14" i="3"/>
  <c r="BP10" i="3"/>
  <c r="BP22" i="3"/>
  <c r="BP25" i="3"/>
  <c r="BP18" i="3"/>
  <c r="BP12" i="3"/>
  <c r="BP16" i="3"/>
  <c r="BP11" i="3"/>
</calcChain>
</file>

<file path=xl/sharedStrings.xml><?xml version="1.0" encoding="utf-8"?>
<sst xmlns="http://schemas.openxmlformats.org/spreadsheetml/2006/main" count="355" uniqueCount="160">
  <si>
    <t xml:space="preserve">Plan de acción </t>
  </si>
  <si>
    <t>Clima organizacional 2021</t>
  </si>
  <si>
    <t>Factor / Área</t>
  </si>
  <si>
    <t>Enunciado / razón</t>
  </si>
  <si>
    <t>Aplica a</t>
  </si>
  <si>
    <t xml:space="preserve">¿Qué? - Actividades </t>
  </si>
  <si>
    <t xml:space="preserve">¿Cómo? - Recursos </t>
  </si>
  <si>
    <t>Meta (indicador)</t>
  </si>
  <si>
    <t>¿Quién hace/qué? (Responsables)</t>
  </si>
  <si>
    <t>Tiempo de ejecución (Corto, mediano o largo plazo)</t>
  </si>
  <si>
    <t>¿Cuándo?</t>
  </si>
  <si>
    <t>Periodicidad del seguimiento</t>
  </si>
  <si>
    <t>Clima General</t>
  </si>
  <si>
    <t xml:space="preserve">Encuesta total de clima </t>
  </si>
  <si>
    <t xml:space="preserve">* Todos los líderes de Tansam </t>
  </si>
  <si>
    <t xml:space="preserve"> Compartir los resultados de clima específicos de cada área con su líder y generar un plan de mejora</t>
  </si>
  <si>
    <t xml:space="preserve">* A través de reuniones con cada líder                                                                           * Generando los resultados con el software de clima </t>
  </si>
  <si>
    <t xml:space="preserve">100% de áreas </t>
  </si>
  <si>
    <t>* Gerencia General y Compras, generar resultados y los trasladan a cada líder                                                                  * Cada líder genera su plan de acción alineado al de la organización</t>
  </si>
  <si>
    <t>Corto plazo</t>
  </si>
  <si>
    <t xml:space="preserve">Durante resto de octubre 2024 </t>
  </si>
  <si>
    <t>Semanal</t>
  </si>
  <si>
    <t>* A todos los colaboradores</t>
  </si>
  <si>
    <t xml:space="preserve"> Compartir los resultados de clima con toda la organización y agradecer su participación.</t>
  </si>
  <si>
    <t xml:space="preserve">* A través de reuniones con cada área                                                                              * Envío de correo                                                       * Compartir comunicación visual </t>
  </si>
  <si>
    <t xml:space="preserve">100% de áreas y colaboradores </t>
  </si>
  <si>
    <t xml:space="preserve">* Gerencia General y Compras, generar resultados y los trasladan a cada líder                                                                  </t>
  </si>
  <si>
    <t xml:space="preserve">* Inducción al puesto
* Capacitación por área
* Capacitación general (comunicación, trabajo en equipo y uso del equipo de protección personal) 
* Capacitación específica (según el puesto) </t>
  </si>
  <si>
    <t xml:space="preserve">Motivación y Reconocimiento </t>
  </si>
  <si>
    <t>Transam me proporciona capacitación</t>
  </si>
  <si>
    <t xml:space="preserve">Condiciones del puesto </t>
  </si>
  <si>
    <t>Las instalaciones de Transam contribuyen a mantener un excelente ambiente de trabajo</t>
  </si>
  <si>
    <t xml:space="preserve">* Mejoramiento y aseo de los baños 
* Mejorar las instalaciones de la cafetería </t>
  </si>
  <si>
    <t xml:space="preserve">Mediano plazo </t>
  </si>
  <si>
    <t xml:space="preserve">Estoy satisfecho con el sueldo que recibo </t>
  </si>
  <si>
    <t xml:space="preserve">* Buscar herramienta para comparación salarial en el mercado
</t>
  </si>
  <si>
    <t>* Recursos Humanos
* Gerencia General</t>
  </si>
  <si>
    <r>
      <rPr>
        <b/>
        <sz val="11"/>
        <color theme="1"/>
        <rFont val="Calibri"/>
        <family val="2"/>
        <scheme val="minor"/>
      </rPr>
      <t xml:space="preserve">* </t>
    </r>
    <r>
      <rPr>
        <sz val="11"/>
        <color theme="1"/>
        <rFont val="Calibri"/>
        <family val="2"/>
        <scheme val="minor"/>
      </rPr>
      <t>Catalogar al personal según escalas</t>
    </r>
  </si>
  <si>
    <t>* Recursos humanos
* Gerencia General y Gerencias por departamento</t>
  </si>
  <si>
    <t xml:space="preserve">* Elaboración de propuesta de escala salarial para Presidencia </t>
  </si>
  <si>
    <t xml:space="preserve">Aprobación de la propuesta </t>
  </si>
  <si>
    <t xml:space="preserve">* Gerencia General
* Presidencia </t>
  </si>
  <si>
    <t xml:space="preserve">Todas las áreas </t>
  </si>
  <si>
    <t>Comunicación</t>
  </si>
  <si>
    <t xml:space="preserve">Comunicación entre áreas </t>
  </si>
  <si>
    <t xml:space="preserve"> * Capacitación en liderazgo, comunicación efectiva para brindar una buena comunicación
* Conocer las otras áreas
* Brindar información por medio de trifoliar
Reuniones periódicas </t>
  </si>
  <si>
    <t xml:space="preserve">Contratar a empresas para capacitaciones internas </t>
  </si>
  <si>
    <t xml:space="preserve">Lograr objetivos claros para transmitir la comunicación </t>
  </si>
  <si>
    <t>Trabajo en Equipo</t>
  </si>
  <si>
    <t>* Impulsar capacitaciones, seminarios y talleres
* Instrucciones - comunicación y apoyo al desempeño
* Colaborar con las otras áreas
Informar el resultado
Exposición de resultados</t>
  </si>
  <si>
    <t xml:space="preserve">* Herramientas
* Seguimiento </t>
  </si>
  <si>
    <t xml:space="preserve">100%  de áreas </t>
  </si>
  <si>
    <t>* Gerencia General
* Gerentes 
* Todas las áreas</t>
  </si>
  <si>
    <t xml:space="preserve">Plan de acción y seguimiento a medición de clima 2024 </t>
  </si>
  <si>
    <t xml:space="preserve">* 100% del personal capacitado según su área                                                          * Horas hombre de capacitación </t>
  </si>
  <si>
    <t xml:space="preserve">* Recursos Humanos                                        * Líderes de cada área </t>
  </si>
  <si>
    <t>* Por medio de la integración de programas de capacitación periódicas y por área                                           * Llevar a cabo un DNC (Diagnóstico de Necesidades de Capacitación)</t>
  </si>
  <si>
    <t>Capacitaciones a corto, mediano y largo plazo</t>
  </si>
  <si>
    <t xml:space="preserve">Mensual / Trimestral </t>
  </si>
  <si>
    <t xml:space="preserve">* Preparación - último trimestre 2024                                                                               *  Ejecución enero a diciembre 2025 </t>
  </si>
  <si>
    <t xml:space="preserve">* A través de la renovación y renovación de las áreas                               * Campaña de concientización del cuidado y uso de las instalaciones </t>
  </si>
  <si>
    <t xml:space="preserve">Mensual   </t>
  </si>
  <si>
    <t>* Mantenimiento                                              * Compras                                                        * Gerencia general</t>
  </si>
  <si>
    <t xml:space="preserve">* Hacer valuación de puestos                     *Actualizar descriptores de puestos                                                                                         * Comparación salarial de Transam VRS. El mercado                           </t>
  </si>
  <si>
    <t xml:space="preserve">* 100% de puestos valuados                           * Tener escala interna y escala comparativa del mercado </t>
  </si>
  <si>
    <t xml:space="preserve">Largo plazo </t>
  </si>
  <si>
    <t>Meta satisfacción 2025</t>
  </si>
  <si>
    <t>Corto plazo y mediano plazo</t>
  </si>
  <si>
    <t xml:space="preserve">último trimestre 2024 para líderes y 2025 el resto de la empresa </t>
  </si>
  <si>
    <t xml:space="preserve">Trabajo en equipo entre áreas </t>
  </si>
  <si>
    <t xml:space="preserve">Renovación del área del comedor y baños                                                                        </t>
  </si>
  <si>
    <t>A partir del año 2025 iniciar a trabajarlo en orden (1. Actualización de descriptores 2. Valuación de puestos y comparación con mercado externo 3. Propuesta de plan de acción)</t>
  </si>
  <si>
    <t xml:space="preserve">* Recursos humamos
* Gerencia general 
* Jefes de cada área </t>
  </si>
  <si>
    <t>INTERVENCIÓN DE LIDERAZGO: TRANSICIÓN DE COLEGA A LÍDER – INTCOMEX</t>
  </si>
  <si>
    <t>Nombre de la empresa</t>
  </si>
  <si>
    <t>INTCOMEX</t>
  </si>
  <si>
    <t>SI: Sesión Inicial</t>
  </si>
  <si>
    <t>Leyenda:</t>
  </si>
  <si>
    <t>Según lo previsto</t>
  </si>
  <si>
    <t>Riesgo bajo</t>
  </si>
  <si>
    <t>Riesgo medio</t>
  </si>
  <si>
    <t>Riesgo alto</t>
  </si>
  <si>
    <t>Sin asignar</t>
  </si>
  <si>
    <t>Responsable del proyecto</t>
  </si>
  <si>
    <t>Xavier Mangels</t>
  </si>
  <si>
    <t>C1: Coaching 1</t>
  </si>
  <si>
    <t>Semana 0</t>
  </si>
  <si>
    <r>
      <t xml:space="preserve">Semana 1: </t>
    </r>
    <r>
      <rPr>
        <b/>
        <sz val="14"/>
        <rFont val="Calibri"/>
        <family val="2"/>
        <scheme val="minor"/>
      </rPr>
      <t>Inicio</t>
    </r>
  </si>
  <si>
    <t>Semana  2</t>
  </si>
  <si>
    <t>Semana 3</t>
  </si>
  <si>
    <r>
      <t xml:space="preserve">Semana 4: </t>
    </r>
    <r>
      <rPr>
        <b/>
        <sz val="14"/>
        <rFont val="Calibri"/>
        <family val="2"/>
        <scheme val="minor"/>
      </rPr>
      <t>Cierre</t>
    </r>
  </si>
  <si>
    <t>Progreso</t>
  </si>
  <si>
    <t>Días</t>
  </si>
  <si>
    <t>Sesión 2 de coaching-Participante 2</t>
  </si>
  <si>
    <t>Ajuste de compromisos 2 - participante 2</t>
  </si>
  <si>
    <t>Sesión de cierre</t>
  </si>
  <si>
    <t>Elaboración de informe final</t>
  </si>
  <si>
    <t>Entrega de informe final</t>
  </si>
  <si>
    <t>Evidencia</t>
  </si>
  <si>
    <t>Criterio: adjunto de captura de correo, firmas de enterado, etc.</t>
  </si>
  <si>
    <t>Validación</t>
  </si>
  <si>
    <t>Evidencia de Validación</t>
  </si>
  <si>
    <t>widget para adjuntar?</t>
  </si>
  <si>
    <t>Bitácora de Actualizaciones</t>
  </si>
  <si>
    <t>Fecha para Completar</t>
  </si>
  <si>
    <t>Entregable/Criterio de Evidencia</t>
  </si>
  <si>
    <t>Factor</t>
  </si>
  <si>
    <t>Factor2</t>
  </si>
  <si>
    <t>Trabajo en equipo</t>
  </si>
  <si>
    <t>Área</t>
  </si>
  <si>
    <t>Organizacional</t>
  </si>
  <si>
    <t>Area afectada</t>
  </si>
  <si>
    <t>progreso</t>
  </si>
  <si>
    <t>Area 1</t>
  </si>
  <si>
    <t>Area 2</t>
  </si>
  <si>
    <t>Area 3</t>
  </si>
  <si>
    <t>Liderazgo</t>
  </si>
  <si>
    <t xml:space="preserve">comunicación </t>
  </si>
  <si>
    <t>Jefe de área</t>
  </si>
  <si>
    <t>Estuardo</t>
  </si>
  <si>
    <t>Xavier</t>
  </si>
  <si>
    <t>Melisa</t>
  </si>
  <si>
    <t>Plan Creado</t>
  </si>
  <si>
    <t>Si</t>
  </si>
  <si>
    <t>No</t>
  </si>
  <si>
    <t>Etiquetas de fila</t>
  </si>
  <si>
    <t>Promedio de progreso</t>
  </si>
  <si>
    <t>Total general</t>
  </si>
  <si>
    <t>Cuenta de Plan Creado</t>
  </si>
  <si>
    <t>Al dar click en cada paso del flujograma, te lleva al tab correspondiente.</t>
  </si>
  <si>
    <t>Tareas</t>
  </si>
  <si>
    <t>Responsible</t>
  </si>
  <si>
    <t>Sponsor</t>
  </si>
  <si>
    <t>Tarea 1</t>
  </si>
  <si>
    <t>Tarea 2</t>
  </si>
  <si>
    <t>Tarea 3</t>
  </si>
  <si>
    <t xml:space="preserve">Responsable </t>
  </si>
  <si>
    <t>Entregable / Criterio de Evidencia</t>
  </si>
  <si>
    <t>Responsable 1</t>
  </si>
  <si>
    <t>Responsable 2</t>
  </si>
  <si>
    <t>Objetivo 1</t>
  </si>
  <si>
    <t>Tarea 4</t>
  </si>
  <si>
    <t>Tarea 5</t>
  </si>
  <si>
    <t>Tarea 6</t>
  </si>
  <si>
    <t>Responsible 1</t>
  </si>
  <si>
    <t>Responsible 2</t>
  </si>
  <si>
    <t>Responsible 3</t>
  </si>
  <si>
    <t>Plan de Acción 1</t>
  </si>
  <si>
    <t>Plan de Acción 2</t>
  </si>
  <si>
    <t>Plan de Acción 3</t>
  </si>
  <si>
    <t>Planes de acción</t>
  </si>
  <si>
    <t>Plan de acción 1</t>
  </si>
  <si>
    <t>Plan de acción 2</t>
  </si>
  <si>
    <t>Plan de acción 3</t>
  </si>
  <si>
    <t>Scope (aplica a)</t>
  </si>
  <si>
    <t>¿Qué? Descripción de acciones</t>
  </si>
  <si>
    <t>¿Cómo? Recursos/Insumos requeridos</t>
  </si>
  <si>
    <t>KPI/Meta (Definición de Completo)</t>
  </si>
  <si>
    <t>Fecha límite</t>
  </si>
  <si>
    <t>Bitácora de actualizaciones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</si>
</sst>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
    <numFmt numFmtId="165" formatCode="#,##0_ ;\-#,##0\ "/>
  </numFmts>
  <fonts count="36" x14ac:knownFonts="1">
    <font>
      <sz val="11"/>
      <color theme="1"/>
      <name val="Calibri"/>
      <family val="2"/>
      <scheme val="minor"/>
    </font>
    <font>
      <b/>
      <sz val="11"/>
      <color theme="0"/>
      <name val="Calibri"/>
      <family val="2"/>
      <scheme val="minor"/>
    </font>
    <font>
      <b/>
      <sz val="14"/>
      <color theme="1"/>
      <name val="Calibri"/>
      <family val="2"/>
      <scheme val="minor"/>
    </font>
    <font>
      <b/>
      <sz val="11"/>
      <color theme="1"/>
      <name val="Calibri"/>
      <family val="2"/>
      <scheme val="minor"/>
    </font>
    <font>
      <b/>
      <sz val="18"/>
      <color theme="1"/>
      <name val="Calibri"/>
      <family val="2"/>
      <scheme val="minor"/>
    </font>
    <font>
      <sz val="11"/>
      <color theme="1"/>
      <name val="Calibri"/>
      <family val="2"/>
      <scheme val="minor"/>
    </font>
    <font>
      <sz val="11"/>
      <color theme="0"/>
      <name val="Calibri"/>
      <family val="2"/>
      <scheme val="minor"/>
    </font>
    <font>
      <sz val="14"/>
      <color theme="1"/>
      <name val="Calibri"/>
      <family val="2"/>
      <scheme val="minor"/>
    </font>
    <font>
      <b/>
      <sz val="22"/>
      <color theme="1" tint="0.34998626667073579"/>
      <name val="Calibri Light"/>
      <family val="2"/>
      <scheme val="major"/>
    </font>
    <font>
      <b/>
      <sz val="18"/>
      <color theme="0"/>
      <name val="Calibri Light"/>
      <family val="2"/>
      <scheme val="major"/>
    </font>
    <font>
      <sz val="14"/>
      <color theme="0"/>
      <name val="Calibri"/>
      <family val="2"/>
      <scheme val="minor"/>
    </font>
    <font>
      <b/>
      <sz val="22"/>
      <name val="Calibri Light"/>
      <family val="2"/>
      <scheme val="major"/>
    </font>
    <font>
      <b/>
      <sz val="20"/>
      <name val="Calibri Light"/>
      <family val="2"/>
      <scheme val="major"/>
    </font>
    <font>
      <sz val="11"/>
      <name val="Calibri"/>
      <family val="2"/>
      <scheme val="minor"/>
    </font>
    <font>
      <sz val="14"/>
      <name val="Calibri"/>
      <family val="2"/>
      <scheme val="minor"/>
    </font>
    <font>
      <b/>
      <sz val="18"/>
      <name val="Calibri"/>
      <family val="2"/>
      <scheme val="minor"/>
    </font>
    <font>
      <sz val="18"/>
      <name val="Calibri"/>
      <family val="2"/>
      <scheme val="minor"/>
    </font>
    <font>
      <i/>
      <sz val="18"/>
      <name val="Calibri"/>
      <family val="2"/>
      <scheme val="minor"/>
    </font>
    <font>
      <b/>
      <sz val="14"/>
      <color theme="0"/>
      <name val="Calibri"/>
      <family val="2"/>
      <scheme val="minor"/>
    </font>
    <font>
      <b/>
      <sz val="14"/>
      <name val="Calibri"/>
      <family val="2"/>
      <scheme val="minor"/>
    </font>
    <font>
      <b/>
      <sz val="16"/>
      <name val="Calibri"/>
      <family val="2"/>
      <scheme val="minor"/>
    </font>
    <font>
      <b/>
      <sz val="16"/>
      <color rgb="FF000000"/>
      <name val="Calibri"/>
      <family val="2"/>
      <scheme val="minor"/>
    </font>
    <font>
      <sz val="16"/>
      <color rgb="FF000000"/>
      <name val="Calibri"/>
      <family val="2"/>
      <scheme val="minor"/>
    </font>
    <font>
      <sz val="16"/>
      <color theme="1"/>
      <name val="Calibri"/>
      <family val="2"/>
      <scheme val="minor"/>
    </font>
    <font>
      <sz val="10"/>
      <name val="Calibri"/>
      <family val="2"/>
      <scheme val="minor"/>
    </font>
    <font>
      <b/>
      <sz val="12"/>
      <color theme="0"/>
      <name val="Calibri"/>
      <family val="2"/>
      <scheme val="minor"/>
    </font>
    <font>
      <b/>
      <sz val="10"/>
      <color theme="0"/>
      <name val="Calibri"/>
      <family val="2"/>
      <scheme val="minor"/>
    </font>
    <font>
      <b/>
      <sz val="12"/>
      <name val="Calibri"/>
      <family val="2"/>
      <scheme val="minor"/>
    </font>
    <font>
      <sz val="12"/>
      <name val="Calibri"/>
      <family val="2"/>
      <scheme val="minor"/>
    </font>
    <font>
      <b/>
      <sz val="11"/>
      <name val="Calibri"/>
      <family val="2"/>
      <scheme val="minor"/>
    </font>
    <font>
      <b/>
      <sz val="12"/>
      <color theme="1"/>
      <name val="Calibri"/>
      <family val="2"/>
      <scheme val="minor"/>
    </font>
    <font>
      <sz val="12"/>
      <color theme="1"/>
      <name val="Calibri"/>
      <family val="2"/>
      <scheme val="minor"/>
    </font>
    <font>
      <b/>
      <sz val="11"/>
      <color theme="1" tint="0.499984740745262"/>
      <name val="Calibri"/>
      <family val="2"/>
      <scheme val="minor"/>
    </font>
    <font>
      <u/>
      <sz val="11"/>
      <color indexed="12"/>
      <name val="Arial"/>
      <family val="2"/>
    </font>
    <font>
      <sz val="10"/>
      <color theme="1" tint="0.499984740745262"/>
      <name val="Arial"/>
      <family val="2"/>
    </font>
    <font>
      <sz val="8"/>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patternFill>
    </fill>
    <fill>
      <patternFill patternType="solid">
        <fgColor theme="9" tint="-0.49998474074526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4" tint="0.399975585192419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top/>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top style="thin">
        <color indexed="64"/>
      </top>
      <bottom/>
      <diagonal/>
    </border>
    <border>
      <left/>
      <right style="thin">
        <color indexed="64"/>
      </right>
      <top style="thin">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indexed="64"/>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14999847407452621"/>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style="thin">
        <color indexed="64"/>
      </right>
      <top style="thin">
        <color theme="0" tint="-0.14999847407452621"/>
      </top>
      <bottom style="thin">
        <color indexed="64"/>
      </bottom>
      <diagonal/>
    </border>
    <border>
      <left style="thin">
        <color theme="0" tint="-0.14999847407452621"/>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6" fillId="6" borderId="0" applyNumberFormat="0" applyBorder="0" applyAlignment="0" applyProtection="0"/>
    <xf numFmtId="0" fontId="6" fillId="0" borderId="0"/>
    <xf numFmtId="0" fontId="8" fillId="0" borderId="0" applyNumberFormat="0" applyFill="0" applyBorder="0" applyAlignment="0" applyProtection="0"/>
    <xf numFmtId="0" fontId="7" fillId="0" borderId="0" applyNumberFormat="0" applyFill="0" applyAlignment="0" applyProtection="0"/>
    <xf numFmtId="0" fontId="5" fillId="0" borderId="0" applyNumberFormat="0" applyFill="0" applyProtection="0">
      <alignment horizontal="right" vertical="center" indent="1"/>
    </xf>
    <xf numFmtId="14" fontId="5" fillId="0" borderId="0" applyFont="0" applyFill="0" applyBorder="0">
      <alignment horizontal="center" vertical="center"/>
    </xf>
    <xf numFmtId="9" fontId="5" fillId="0" borderId="0" applyFont="0" applyFill="0" applyBorder="0" applyProtection="0">
      <alignment horizontal="center" vertical="center"/>
    </xf>
    <xf numFmtId="165" fontId="5" fillId="0" borderId="0" applyFont="0" applyFill="0" applyBorder="0" applyProtection="0">
      <alignment horizontal="center" vertical="center"/>
    </xf>
    <xf numFmtId="0" fontId="33" fillId="0" borderId="0" applyNumberFormat="0" applyFill="0" applyBorder="0" applyAlignment="0" applyProtection="0">
      <alignment vertical="top"/>
      <protection locked="0"/>
    </xf>
  </cellStyleXfs>
  <cellXfs count="173">
    <xf numFmtId="0" fontId="0" fillId="0" borderId="0" xfId="0"/>
    <xf numFmtId="0" fontId="2" fillId="0" borderId="0" xfId="0" applyFont="1"/>
    <xf numFmtId="0" fontId="0" fillId="0" borderId="0" xfId="0" applyAlignment="1">
      <alignment horizontal="center"/>
    </xf>
    <xf numFmtId="0" fontId="0" fillId="0" borderId="0" xfId="0" applyAlignment="1">
      <alignment horizontal="center" vertical="center"/>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wrapText="1" readingOrder="1"/>
    </xf>
    <xf numFmtId="0" fontId="3"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3" fillId="4" borderId="1" xfId="0" applyFont="1" applyFill="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3" fillId="5" borderId="5" xfId="0" applyFont="1" applyFill="1" applyBorder="1" applyAlignment="1">
      <alignment horizontal="center"/>
    </xf>
    <xf numFmtId="9" fontId="3" fillId="5" borderId="6" xfId="0" applyNumberFormat="1" applyFont="1" applyFill="1" applyBorder="1" applyAlignment="1">
      <alignment horizontal="center"/>
    </xf>
    <xf numFmtId="0" fontId="4" fillId="0" borderId="0" xfId="0" applyFont="1" applyAlignment="1">
      <alignment horizontal="center"/>
    </xf>
    <xf numFmtId="0" fontId="0" fillId="4" borderId="4" xfId="0" applyFill="1" applyBorder="1" applyAlignment="1">
      <alignment horizontal="left" vertical="center" wrapText="1"/>
    </xf>
    <xf numFmtId="0" fontId="6" fillId="0" borderId="0" xfId="2"/>
    <xf numFmtId="0" fontId="0" fillId="0" borderId="0" xfId="0" applyAlignment="1">
      <alignment wrapText="1"/>
    </xf>
    <xf numFmtId="0" fontId="7" fillId="0" borderId="0" xfId="0" applyFont="1"/>
    <xf numFmtId="0" fontId="6" fillId="0" borderId="0" xfId="2" applyAlignment="1">
      <alignment wrapText="1"/>
    </xf>
    <xf numFmtId="0" fontId="10" fillId="7" borderId="0" xfId="0" applyFont="1" applyFill="1"/>
    <xf numFmtId="0" fontId="6" fillId="7" borderId="0" xfId="0" applyFont="1" applyFill="1"/>
    <xf numFmtId="0" fontId="11" fillId="0" borderId="0" xfId="3" applyFont="1" applyFill="1" applyBorder="1" applyAlignment="1">
      <alignment horizontal="left" vertical="center"/>
    </xf>
    <xf numFmtId="0" fontId="12" fillId="0" borderId="0" xfId="0" applyFont="1" applyAlignment="1">
      <alignment horizontal="left" vertical="center"/>
    </xf>
    <xf numFmtId="0" fontId="13" fillId="0" borderId="0" xfId="0" applyFont="1" applyAlignment="1">
      <alignment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pplyAlignment="1">
      <alignment vertical="center"/>
    </xf>
    <xf numFmtId="0" fontId="7" fillId="0" borderId="0" xfId="0" applyFont="1" applyAlignment="1">
      <alignment vertical="center"/>
    </xf>
    <xf numFmtId="0" fontId="15" fillId="0" borderId="0" xfId="4" applyFont="1" applyFill="1" applyAlignment="1">
      <alignment horizontal="left" vertical="center" wrapText="1" indent="2"/>
    </xf>
    <xf numFmtId="0" fontId="16" fillId="0" borderId="0" xfId="4" applyFont="1" applyFill="1" applyAlignment="1">
      <alignment horizontal="center" vertical="center"/>
    </xf>
    <xf numFmtId="0" fontId="16" fillId="0" borderId="0" xfId="0" applyFont="1" applyAlignment="1">
      <alignment horizontal="left" vertical="center" indent="2"/>
    </xf>
    <xf numFmtId="0" fontId="17" fillId="0" borderId="3" xfId="0" applyFont="1" applyBorder="1" applyAlignment="1">
      <alignment horizontal="left" vertical="center" wrapText="1"/>
    </xf>
    <xf numFmtId="0" fontId="13" fillId="0" borderId="0" xfId="0" applyFont="1"/>
    <xf numFmtId="0" fontId="13" fillId="0" borderId="0" xfId="0" applyFont="1" applyAlignment="1">
      <alignment horizontal="center"/>
    </xf>
    <xf numFmtId="0" fontId="13" fillId="0" borderId="0" xfId="0" applyFont="1" applyAlignment="1">
      <alignment horizontal="right" vertical="center"/>
    </xf>
    <xf numFmtId="0" fontId="7" fillId="0" borderId="0" xfId="0" applyFont="1" applyAlignment="1">
      <alignment wrapText="1"/>
    </xf>
    <xf numFmtId="0" fontId="15" fillId="0" borderId="0" xfId="0" applyFont="1" applyAlignment="1">
      <alignment horizontal="left" vertical="center" wrapText="1" indent="2"/>
    </xf>
    <xf numFmtId="0" fontId="16" fillId="0" borderId="0" xfId="0" applyFont="1" applyAlignment="1">
      <alignment horizontal="center" vertical="center" wrapText="1"/>
    </xf>
    <xf numFmtId="0" fontId="17" fillId="0" borderId="4" xfId="0" applyFont="1" applyBorder="1" applyAlignment="1">
      <alignment horizontal="left" vertical="center" wrapText="1"/>
    </xf>
    <xf numFmtId="0" fontId="16" fillId="0" borderId="0" xfId="5" applyFont="1" applyFill="1" applyAlignment="1">
      <alignment horizontal="left" vertical="center" wrapText="1" indent="2"/>
    </xf>
    <xf numFmtId="14" fontId="15" fillId="0" borderId="0" xfId="6" applyFont="1" applyFill="1" applyBorder="1">
      <alignment horizontal="center" vertical="center"/>
    </xf>
    <xf numFmtId="14" fontId="16" fillId="0" borderId="0" xfId="6" applyFont="1" applyFill="1" applyBorder="1" applyAlignment="1">
      <alignment horizontal="left" vertical="center"/>
    </xf>
    <xf numFmtId="0" fontId="19" fillId="0" borderId="9" xfId="0" applyFont="1" applyBorder="1" applyAlignment="1">
      <alignment vertical="center"/>
    </xf>
    <xf numFmtId="0" fontId="20" fillId="0" borderId="9" xfId="0" applyFont="1" applyBorder="1" applyAlignment="1">
      <alignment vertical="center"/>
    </xf>
    <xf numFmtId="0" fontId="21" fillId="0" borderId="9" xfId="0" applyFont="1" applyBorder="1" applyAlignment="1">
      <alignment vertical="center"/>
    </xf>
    <xf numFmtId="0" fontId="22" fillId="0" borderId="9" xfId="0" applyFont="1" applyBorder="1" applyAlignment="1">
      <alignment vertical="center"/>
    </xf>
    <xf numFmtId="0" fontId="23" fillId="0" borderId="9" xfId="0" applyFont="1" applyBorder="1"/>
    <xf numFmtId="0" fontId="16" fillId="0" borderId="0" xfId="0" applyFont="1" applyAlignment="1">
      <alignment horizontal="center" vertical="center"/>
    </xf>
    <xf numFmtId="0" fontId="13" fillId="0" borderId="10" xfId="0" applyFont="1" applyBorder="1"/>
    <xf numFmtId="164" fontId="14" fillId="13" borderId="11" xfId="0" applyNumberFormat="1" applyFont="1" applyFill="1" applyBorder="1" applyAlignment="1">
      <alignment horizontal="center" vertical="center"/>
    </xf>
    <xf numFmtId="164" fontId="14" fillId="13" borderId="12" xfId="0" applyNumberFormat="1" applyFont="1" applyFill="1" applyBorder="1" applyAlignment="1">
      <alignment horizontal="center" vertical="center"/>
    </xf>
    <xf numFmtId="164" fontId="14" fillId="13" borderId="13" xfId="0" applyNumberFormat="1" applyFont="1" applyFill="1" applyBorder="1" applyAlignment="1">
      <alignment horizontal="center" vertical="center"/>
    </xf>
    <xf numFmtId="164" fontId="24" fillId="13" borderId="12" xfId="0" applyNumberFormat="1" applyFont="1" applyFill="1" applyBorder="1" applyAlignment="1">
      <alignment horizontal="center" vertical="center"/>
    </xf>
    <xf numFmtId="164" fontId="24" fillId="13" borderId="13" xfId="0" applyNumberFormat="1" applyFont="1" applyFill="1" applyBorder="1" applyAlignment="1">
      <alignment horizontal="center" vertical="center"/>
    </xf>
    <xf numFmtId="0" fontId="13" fillId="0" borderId="0" xfId="0" applyFont="1" applyAlignment="1">
      <alignment horizontal="left" vertical="center" indent="2"/>
    </xf>
    <xf numFmtId="0" fontId="13" fillId="0" borderId="0" xfId="0" applyFont="1" applyAlignment="1">
      <alignment horizontal="left" vertical="center" wrapText="1"/>
    </xf>
    <xf numFmtId="164" fontId="14" fillId="13" borderId="14" xfId="0" applyNumberFormat="1" applyFont="1" applyFill="1" applyBorder="1" applyAlignment="1">
      <alignment horizontal="center" vertical="center"/>
    </xf>
    <xf numFmtId="164" fontId="14" fillId="13" borderId="0" xfId="0" applyNumberFormat="1" applyFont="1" applyFill="1" applyAlignment="1">
      <alignment horizontal="center" vertical="center"/>
    </xf>
    <xf numFmtId="164" fontId="14" fillId="13" borderId="15" xfId="0" applyNumberFormat="1" applyFont="1" applyFill="1" applyBorder="1" applyAlignment="1">
      <alignment horizontal="center" vertical="center"/>
    </xf>
    <xf numFmtId="164" fontId="24" fillId="13" borderId="0" xfId="0" applyNumberFormat="1" applyFont="1" applyFill="1" applyAlignment="1">
      <alignment horizontal="center" vertical="center"/>
    </xf>
    <xf numFmtId="164" fontId="24" fillId="13" borderId="15" xfId="0" applyNumberFormat="1" applyFont="1" applyFill="1" applyBorder="1" applyAlignment="1">
      <alignment horizontal="center" vertical="center"/>
    </xf>
    <xf numFmtId="164" fontId="24" fillId="13" borderId="10" xfId="0" applyNumberFormat="1" applyFont="1" applyFill="1" applyBorder="1" applyAlignment="1">
      <alignment horizontal="center" vertical="center"/>
    </xf>
    <xf numFmtId="164" fontId="14" fillId="13" borderId="16" xfId="0" applyNumberFormat="1" applyFont="1" applyFill="1" applyBorder="1" applyAlignment="1">
      <alignment horizontal="centerContinuous" vertical="center"/>
    </xf>
    <xf numFmtId="164" fontId="14" fillId="13" borderId="0" xfId="0" applyNumberFormat="1" applyFont="1" applyFill="1" applyAlignment="1">
      <alignment horizontal="centerContinuous" vertical="center"/>
    </xf>
    <xf numFmtId="164" fontId="14" fillId="13" borderId="16" xfId="0" applyNumberFormat="1" applyFont="1" applyFill="1" applyBorder="1" applyAlignment="1">
      <alignment vertical="center"/>
    </xf>
    <xf numFmtId="164" fontId="14" fillId="14" borderId="17" xfId="0" applyNumberFormat="1" applyFont="1" applyFill="1" applyBorder="1" applyAlignment="1">
      <alignment horizontal="centerContinuous" vertical="center"/>
    </xf>
    <xf numFmtId="164" fontId="14" fillId="14" borderId="18" xfId="0" applyNumberFormat="1" applyFont="1" applyFill="1" applyBorder="1" applyAlignment="1">
      <alignment horizontal="centerContinuous" vertical="center"/>
    </xf>
    <xf numFmtId="164" fontId="14" fillId="14" borderId="19" xfId="0" applyNumberFormat="1" applyFont="1" applyFill="1" applyBorder="1" applyAlignment="1">
      <alignment horizontal="centerContinuous" vertical="center"/>
    </xf>
    <xf numFmtId="164" fontId="14" fillId="14" borderId="20" xfId="0" applyNumberFormat="1" applyFont="1" applyFill="1" applyBorder="1" applyAlignment="1">
      <alignment horizontal="centerContinuous" vertical="center"/>
    </xf>
    <xf numFmtId="0" fontId="25" fillId="7" borderId="0" xfId="0" applyFont="1" applyFill="1" applyAlignment="1">
      <alignment horizontal="left" vertical="center" indent="1"/>
    </xf>
    <xf numFmtId="0" fontId="25" fillId="7" borderId="0" xfId="0" applyFont="1" applyFill="1" applyAlignment="1">
      <alignment horizontal="center" vertical="center" wrapText="1"/>
    </xf>
    <xf numFmtId="0" fontId="26" fillId="0" borderId="10" xfId="0" applyFont="1" applyBorder="1" applyAlignment="1">
      <alignment horizontal="center" vertical="center" wrapText="1"/>
    </xf>
    <xf numFmtId="0" fontId="14" fillId="13" borderId="21" xfId="0" applyFont="1" applyFill="1" applyBorder="1" applyAlignment="1">
      <alignment horizontal="center" vertical="center" shrinkToFit="1"/>
    </xf>
    <xf numFmtId="0" fontId="14" fillId="13" borderId="22" xfId="0" applyFont="1" applyFill="1" applyBorder="1" applyAlignment="1">
      <alignment horizontal="center" vertical="center" shrinkToFit="1"/>
    </xf>
    <xf numFmtId="0" fontId="14" fillId="13" borderId="23" xfId="0" applyFont="1" applyFill="1" applyBorder="1" applyAlignment="1">
      <alignment horizontal="center" vertical="center" shrinkToFit="1"/>
    </xf>
    <xf numFmtId="0" fontId="14" fillId="13" borderId="24" xfId="0" applyFont="1" applyFill="1" applyBorder="1" applyAlignment="1">
      <alignment horizontal="center" vertical="center" shrinkToFit="1"/>
    </xf>
    <xf numFmtId="0" fontId="14" fillId="13" borderId="25" xfId="0" applyFont="1" applyFill="1" applyBorder="1" applyAlignment="1">
      <alignment horizontal="center" vertical="center" shrinkToFit="1"/>
    </xf>
    <xf numFmtId="0" fontId="24" fillId="13" borderId="21" xfId="0" applyFont="1" applyFill="1" applyBorder="1" applyAlignment="1">
      <alignment horizontal="center" vertical="center" shrinkToFit="1"/>
    </xf>
    <xf numFmtId="0" fontId="1" fillId="0" borderId="0" xfId="2" applyFont="1" applyAlignment="1">
      <alignment wrapText="1"/>
    </xf>
    <xf numFmtId="0" fontId="27" fillId="0" borderId="0" xfId="0" applyFont="1" applyAlignment="1">
      <alignment horizontal="left" vertical="center" wrapText="1" indent="1"/>
    </xf>
    <xf numFmtId="0" fontId="27" fillId="0" borderId="0" xfId="0" applyFont="1" applyAlignment="1">
      <alignment horizontal="center" vertical="center" wrapText="1"/>
    </xf>
    <xf numFmtId="14" fontId="28" fillId="0" borderId="0" xfId="6" applyFont="1" applyFill="1" applyBorder="1">
      <alignment horizontal="center" vertical="center"/>
    </xf>
    <xf numFmtId="165" fontId="28" fillId="0" borderId="0" xfId="8" applyFont="1" applyFill="1" applyBorder="1">
      <alignment horizontal="center" vertical="center"/>
    </xf>
    <xf numFmtId="0" fontId="29" fillId="0" borderId="0" xfId="0" applyFont="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3" fillId="0" borderId="26" xfId="0" applyFont="1" applyBorder="1" applyAlignment="1">
      <alignment horizontal="center" vertical="center"/>
    </xf>
    <xf numFmtId="0" fontId="3" fillId="0" borderId="0" xfId="0" applyFont="1" applyAlignment="1">
      <alignment vertical="center"/>
    </xf>
    <xf numFmtId="0" fontId="3" fillId="0" borderId="31" xfId="0" applyFont="1" applyBorder="1" applyAlignment="1">
      <alignment vertical="center"/>
    </xf>
    <xf numFmtId="0" fontId="28" fillId="0" borderId="0" xfId="0" applyFont="1" applyAlignment="1">
      <alignment horizontal="left" vertical="center" wrapText="1" indent="2"/>
    </xf>
    <xf numFmtId="0" fontId="28" fillId="0" borderId="0" xfId="0" applyFont="1" applyAlignment="1">
      <alignment horizontal="center" vertical="center" wrapText="1"/>
    </xf>
    <xf numFmtId="0" fontId="13" fillId="0" borderId="0" xfId="0" applyFont="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26" xfId="0" applyBorder="1" applyAlignment="1">
      <alignment horizontal="center" vertical="center"/>
    </xf>
    <xf numFmtId="0" fontId="0" fillId="0" borderId="0" xfId="0" applyAlignment="1">
      <alignment vertical="center"/>
    </xf>
    <xf numFmtId="0" fontId="30" fillId="0" borderId="28" xfId="0" applyFont="1" applyBorder="1" applyAlignment="1">
      <alignment horizontal="center" vertical="center" textRotation="90"/>
    </xf>
    <xf numFmtId="0" fontId="30" fillId="0" borderId="26" xfId="0" applyFont="1" applyBorder="1" applyAlignment="1">
      <alignment horizontal="center" vertical="center" textRotation="90"/>
    </xf>
    <xf numFmtId="0" fontId="30" fillId="0" borderId="30" xfId="0" applyFont="1" applyBorder="1" applyAlignment="1">
      <alignment horizontal="center" vertical="center" textRotation="90"/>
    </xf>
    <xf numFmtId="0" fontId="30" fillId="0" borderId="27" xfId="0" applyFont="1" applyBorder="1" applyAlignment="1">
      <alignment horizontal="center" vertical="center"/>
    </xf>
    <xf numFmtId="0" fontId="31" fillId="0" borderId="28" xfId="0" applyFont="1" applyBorder="1" applyAlignment="1">
      <alignment horizontal="center" vertical="center"/>
    </xf>
    <xf numFmtId="0" fontId="31" fillId="0" borderId="26" xfId="0" applyFont="1" applyBorder="1" applyAlignment="1">
      <alignment horizontal="center" vertical="center"/>
    </xf>
    <xf numFmtId="0" fontId="31" fillId="0" borderId="29" xfId="0" applyFont="1" applyBorder="1" applyAlignment="1">
      <alignment horizontal="center" vertical="center"/>
    </xf>
    <xf numFmtId="0" fontId="31" fillId="0" borderId="30" xfId="0" applyFont="1" applyBorder="1" applyAlignment="1">
      <alignment horizontal="center" vertical="center"/>
    </xf>
    <xf numFmtId="0" fontId="31" fillId="0" borderId="27" xfId="0" applyFont="1" applyBorder="1" applyAlignment="1">
      <alignment horizontal="center" vertical="center"/>
    </xf>
    <xf numFmtId="0" fontId="30" fillId="0" borderId="29" xfId="0" applyFont="1" applyBorder="1" applyAlignment="1">
      <alignment horizontal="center" vertical="center" textRotation="90"/>
    </xf>
    <xf numFmtId="0" fontId="30" fillId="0" borderId="27" xfId="0" applyFont="1" applyBorder="1" applyAlignment="1">
      <alignment horizontal="center" vertical="center" textRotation="90"/>
    </xf>
    <xf numFmtId="0" fontId="13" fillId="0" borderId="0" xfId="0" applyFont="1" applyAlignment="1">
      <alignment horizontal="left" vertical="center" wrapText="1" indent="3"/>
    </xf>
    <xf numFmtId="0" fontId="13" fillId="0" borderId="0" xfId="0" applyFont="1" applyAlignment="1">
      <alignment horizontal="center" vertical="center" wrapText="1"/>
    </xf>
    <xf numFmtId="9" fontId="29" fillId="0" borderId="0" xfId="7" applyFont="1" applyFill="1" applyBorder="1">
      <alignment horizontal="center" vertical="center"/>
    </xf>
    <xf numFmtId="14" fontId="13" fillId="0" borderId="0" xfId="6" applyFont="1" applyFill="1" applyBorder="1">
      <alignment horizontal="center" vertical="center"/>
    </xf>
    <xf numFmtId="165" fontId="13" fillId="0" borderId="0" xfId="8" applyFont="1" applyFill="1" applyBorder="1">
      <alignment horizontal="center" vertical="center"/>
    </xf>
    <xf numFmtId="165" fontId="13" fillId="0" borderId="0" xfId="8" applyFont="1" applyFill="1">
      <alignment horizontal="center" vertical="center"/>
    </xf>
    <xf numFmtId="0" fontId="32" fillId="0" borderId="0" xfId="0" applyFont="1" applyAlignment="1">
      <alignment horizontal="center" vertical="center"/>
    </xf>
    <xf numFmtId="0" fontId="34" fillId="0" borderId="0" xfId="9" applyFont="1" applyAlignment="1" applyProtection="1">
      <alignment horizontal="center" vertical="center"/>
    </xf>
    <xf numFmtId="0" fontId="13" fillId="0" borderId="0" xfId="9" applyFont="1" applyAlignment="1" applyProtection="1">
      <alignment horizontal="center" vertical="center" wrapText="1"/>
    </xf>
    <xf numFmtId="14" fontId="0" fillId="0" borderId="0" xfId="6" applyFont="1">
      <alignment horizontal="center" vertical="center"/>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0" fillId="0" borderId="35" xfId="0" applyBorder="1" applyAlignment="1">
      <alignment vertical="center"/>
    </xf>
    <xf numFmtId="0" fontId="0" fillId="0" borderId="0" xfId="0" applyAlignment="1">
      <alignment horizontal="left" vertical="center" wrapText="1" indent="1"/>
    </xf>
    <xf numFmtId="0" fontId="7" fillId="0" borderId="0" xfId="0" applyFont="1" applyAlignment="1">
      <alignment horizontal="center" vertical="center"/>
    </xf>
    <xf numFmtId="0" fontId="0" fillId="0" borderId="0" xfId="0" applyAlignment="1">
      <alignment horizontal="right" vertical="center"/>
    </xf>
    <xf numFmtId="0" fontId="1" fillId="2" borderId="4" xfId="0" applyFont="1" applyFill="1" applyBorder="1" applyAlignment="1">
      <alignment horizontal="center" vertical="center" wrapText="1" readingOrder="1"/>
    </xf>
    <xf numFmtId="0" fontId="0" fillId="3" borderId="0" xfId="0" applyFill="1" applyAlignment="1">
      <alignment horizontal="left" vertical="center" wrapText="1"/>
    </xf>
    <xf numFmtId="0" fontId="0" fillId="4" borderId="0" xfId="0" applyFill="1" applyAlignment="1">
      <alignment horizontal="left" vertical="center" wrapText="1"/>
    </xf>
    <xf numFmtId="9" fontId="27" fillId="0" borderId="0" xfId="7" applyFont="1" applyFill="1" applyBorder="1">
      <alignment horizontal="center" vertical="center"/>
      <extLst>
        <ext xmlns:xfpb="http://schemas.microsoft.com/office/spreadsheetml/2022/featurepropertybag" uri="{C7286773-470A-42A8-94C5-96B5CB345126}">
          <xfpb:xfComplement i="0"/>
        </ext>
      </extLst>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5" fillId="7" borderId="1" xfId="0" applyFont="1" applyFill="1" applyBorder="1" applyAlignment="1">
      <alignment horizontal="left" vertical="center" indent="1"/>
    </xf>
    <xf numFmtId="0" fontId="0" fillId="0" borderId="1" xfId="0" applyBorder="1"/>
    <xf numFmtId="0" fontId="25" fillId="7" borderId="1" xfId="0" applyFont="1" applyFill="1" applyBorder="1" applyAlignment="1">
      <alignment horizontal="center" vertical="center" wrapText="1"/>
    </xf>
    <xf numFmtId="9" fontId="27" fillId="0" borderId="0" xfId="7" applyFont="1" applyFill="1" applyBorder="1">
      <alignment horizontal="center" vertical="center"/>
    </xf>
    <xf numFmtId="0" fontId="25" fillId="7" borderId="1" xfId="0" applyFont="1" applyFill="1" applyBorder="1" applyAlignment="1">
      <alignment horizontal="left" vertical="center" wrapText="1" indent="1"/>
    </xf>
    <xf numFmtId="14" fontId="17" fillId="0" borderId="0" xfId="6" applyFont="1" applyFill="1" applyBorder="1" applyAlignment="1">
      <alignment horizontal="left" vertical="center" wrapText="1"/>
    </xf>
    <xf numFmtId="0" fontId="17" fillId="0" borderId="0" xfId="0" applyFont="1" applyAlignment="1">
      <alignment horizontal="left" vertical="center" wrapText="1"/>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18" fillId="11" borderId="0" xfId="0" applyFont="1" applyFill="1" applyAlignment="1">
      <alignment horizontal="center" vertical="center" wrapText="1"/>
    </xf>
    <xf numFmtId="0" fontId="19" fillId="12" borderId="0" xfId="0" applyFont="1" applyFill="1" applyAlignment="1">
      <alignment horizontal="center" vertical="center" wrapText="1"/>
    </xf>
    <xf numFmtId="0" fontId="9" fillId="7" borderId="0" xfId="3" applyFont="1" applyFill="1" applyAlignment="1">
      <alignment horizontal="left" vertical="center" indent="1"/>
    </xf>
    <xf numFmtId="0" fontId="10" fillId="7" borderId="0" xfId="0" applyFont="1" applyFill="1" applyAlignment="1">
      <alignment horizontal="center" vertical="center"/>
    </xf>
    <xf numFmtId="0" fontId="18" fillId="8" borderId="0" xfId="1" applyFont="1" applyFill="1" applyAlignment="1">
      <alignment horizontal="center" vertical="center" wrapText="1"/>
    </xf>
    <xf numFmtId="0" fontId="18" fillId="9" borderId="0" xfId="0" applyFont="1" applyFill="1" applyAlignment="1">
      <alignment horizontal="center" vertical="center" wrapText="1"/>
    </xf>
    <xf numFmtId="0" fontId="18" fillId="10" borderId="0" xfId="0" applyFont="1" applyFill="1" applyAlignment="1">
      <alignment horizontal="center" vertical="center" wrapText="1"/>
    </xf>
    <xf numFmtId="0" fontId="2" fillId="0" borderId="0" xfId="0" applyFont="1" applyAlignment="1">
      <alignment horizontal="center"/>
    </xf>
    <xf numFmtId="0" fontId="4" fillId="0" borderId="0" xfId="0" applyFont="1" applyAlignment="1">
      <alignment horizont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0" fillId="4" borderId="2" xfId="0" applyFill="1" applyBorder="1" applyAlignment="1">
      <alignment horizontal="left" vertical="center" wrapText="1"/>
    </xf>
    <xf numFmtId="0" fontId="0" fillId="4" borderId="3" xfId="0" applyFill="1" applyBorder="1" applyAlignment="1">
      <alignment horizontal="center" vertical="center" wrapText="1"/>
    </xf>
    <xf numFmtId="0" fontId="0" fillId="4" borderId="2" xfId="0" applyFill="1" applyBorder="1" applyAlignment="1">
      <alignment horizontal="center" vertical="center" wrapText="1"/>
    </xf>
    <xf numFmtId="17" fontId="0" fillId="4" borderId="3" xfId="0" applyNumberFormat="1" applyFill="1" applyBorder="1" applyAlignment="1">
      <alignment horizontal="center" vertical="center" wrapText="1"/>
    </xf>
    <xf numFmtId="17" fontId="0" fillId="4" borderId="4" xfId="0" applyNumberFormat="1" applyFill="1" applyBorder="1" applyAlignment="1">
      <alignment horizontal="center" vertical="center" wrapText="1"/>
    </xf>
    <xf numFmtId="17" fontId="0" fillId="4" borderId="2" xfId="0" applyNumberForma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4" borderId="4" xfId="0" applyFill="1" applyBorder="1" applyAlignment="1">
      <alignment horizontal="center" vertical="center" wrapText="1"/>
    </xf>
    <xf numFmtId="0" fontId="0" fillId="0" borderId="0" xfId="0" applyNumberFormat="1"/>
  </cellXfs>
  <cellStyles count="10">
    <cellStyle name="Encabezado 1 2" xfId="4" xr:uid="{DB9A31C5-1534-4115-95F5-AB20C4638605}"/>
    <cellStyle name="Énfasis3" xfId="1" builtinId="37"/>
    <cellStyle name="Fecha" xfId="6" xr:uid="{C1D51942-5CCA-4742-BC04-268CB1946E6A}"/>
    <cellStyle name="Hipervínculo" xfId="9" builtinId="8"/>
    <cellStyle name="Millares [0] 2" xfId="8" xr:uid="{66A2726D-583A-4FF3-B5DB-26F67361CF5A}"/>
    <cellStyle name="Normal" xfId="0" builtinId="0"/>
    <cellStyle name="Porcentaje 2" xfId="7" xr:uid="{7B054FFF-7EAF-44E1-9A45-4E03F841450E}"/>
    <cellStyle name="Título 3 2" xfId="5" xr:uid="{4B98D04E-3778-4591-8374-03F77CB4C839}"/>
    <cellStyle name="Título 4" xfId="3" xr:uid="{044F80B3-474B-41A3-9377-1F00AB6445A0}"/>
    <cellStyle name="zHiddenText" xfId="2" xr:uid="{E677F5E9-EDC2-4279-ADFA-5C7CD56D8976}"/>
  </cellStyles>
  <dxfs count="45">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left" vertical="center" textRotation="0" wrapText="1" indent="1" justifyLastLine="0" shrinkToFit="0" readingOrder="0"/>
    </dxf>
    <dxf>
      <alignment horizontal="left" vertical="center"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numFmt numFmtId="13" formatCode="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EB2CFCDD-FAF0-4F4A-87A8-679393E7BE30}">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croll" dx="39" fmlaLink="$D$7" horiz="1" max="365" page="2" val="5"/>
</file>

<file path=xl/drawings/_rels/drawing1.xml.rels><?xml version="1.0" encoding="UTF-8" standalone="yes"?>
<Relationships xmlns="http://schemas.openxmlformats.org/package/2006/relationships"><Relationship Id="rId3" Type="http://schemas.openxmlformats.org/officeDocument/2006/relationships/hyperlink" Target="#'Gantt de Progreso'!A1"/><Relationship Id="rId2" Type="http://schemas.openxmlformats.org/officeDocument/2006/relationships/hyperlink" Target="#'Template de Plan'!A1"/><Relationship Id="rId1" Type="http://schemas.openxmlformats.org/officeDocument/2006/relationships/hyperlink" Target="#'Tabla Requerimientos y Progreso'!A1"/><Relationship Id="rId5" Type="http://schemas.openxmlformats.org/officeDocument/2006/relationships/hyperlink" Target="#'Dashboard de Requerimientos'!A1"/><Relationship Id="rId4" Type="http://schemas.openxmlformats.org/officeDocument/2006/relationships/hyperlink" Target="#'Plan General'!A1"/></Relationships>
</file>

<file path=xl/drawings/_rels/drawing2.xml.rels><?xml version="1.0" encoding="UTF-8" standalone="yes"?>
<Relationships xmlns="http://schemas.openxmlformats.org/package/2006/relationships"><Relationship Id="rId1" Type="http://schemas.openxmlformats.org/officeDocument/2006/relationships/hyperlink" Target="#Flujograma!A1"/></Relationships>
</file>

<file path=xl/drawings/_rels/drawing3.xml.rels><?xml version="1.0" encoding="UTF-8" standalone="yes"?>
<Relationships xmlns="http://schemas.openxmlformats.org/package/2006/relationships"><Relationship Id="rId1" Type="http://schemas.openxmlformats.org/officeDocument/2006/relationships/hyperlink" Target="#Flujograma!A1"/></Relationships>
</file>

<file path=xl/drawings/_rels/drawing4.xml.rels><?xml version="1.0" encoding="UTF-8" standalone="yes"?>
<Relationships xmlns="http://schemas.openxmlformats.org/package/2006/relationships"><Relationship Id="rId1" Type="http://schemas.openxmlformats.org/officeDocument/2006/relationships/hyperlink" Target="#Flujograma!A1"/></Relationships>
</file>

<file path=xl/drawings/_rels/drawing5.xml.rels><?xml version="1.0" encoding="UTF-8" standalone="yes"?>
<Relationships xmlns="http://schemas.openxmlformats.org/package/2006/relationships"><Relationship Id="rId1" Type="http://schemas.openxmlformats.org/officeDocument/2006/relationships/hyperlink" Target="#Flujograma!A1"/></Relationships>
</file>

<file path=xl/drawings/_rels/drawing6.xml.rels><?xml version="1.0" encoding="UTF-8" standalone="yes"?>
<Relationships xmlns="http://schemas.openxmlformats.org/package/2006/relationships"><Relationship Id="rId1" Type="http://schemas.openxmlformats.org/officeDocument/2006/relationships/hyperlink" Target="#Flujograma!A1"/></Relationships>
</file>

<file path=xl/drawings/drawing1.xml><?xml version="1.0" encoding="utf-8"?>
<xdr:wsDr xmlns:xdr="http://schemas.openxmlformats.org/drawingml/2006/spreadsheetDrawing" xmlns:a="http://schemas.openxmlformats.org/drawingml/2006/main">
  <xdr:twoCellAnchor>
    <xdr:from>
      <xdr:col>2</xdr:col>
      <xdr:colOff>5485</xdr:colOff>
      <xdr:row>4</xdr:row>
      <xdr:rowOff>93869</xdr:rowOff>
    </xdr:from>
    <xdr:to>
      <xdr:col>16</xdr:col>
      <xdr:colOff>329568</xdr:colOff>
      <xdr:row>16</xdr:row>
      <xdr:rowOff>15760</xdr:rowOff>
    </xdr:to>
    <xdr:grpSp>
      <xdr:nvGrpSpPr>
        <xdr:cNvPr id="9" name="Group 8">
          <a:extLst>
            <a:ext uri="{FF2B5EF4-FFF2-40B4-BE49-F238E27FC236}">
              <a16:creationId xmlns:a16="http://schemas.microsoft.com/office/drawing/2014/main" id="{42273307-E416-F7E1-4DFD-D7A1B6DBF285}"/>
            </a:ext>
          </a:extLst>
        </xdr:cNvPr>
        <xdr:cNvGrpSpPr/>
      </xdr:nvGrpSpPr>
      <xdr:grpSpPr>
        <a:xfrm>
          <a:off x="1750355" y="844826"/>
          <a:ext cx="12538170" cy="2174760"/>
          <a:chOff x="1529485" y="855869"/>
          <a:chExt cx="10992083" cy="2207891"/>
        </a:xfrm>
      </xdr:grpSpPr>
      <xdr:sp macro="" textlink="">
        <xdr:nvSpPr>
          <xdr:cNvPr id="10" name="Freeform: Shape 9">
            <a:extLst>
              <a:ext uri="{FF2B5EF4-FFF2-40B4-BE49-F238E27FC236}">
                <a16:creationId xmlns:a16="http://schemas.microsoft.com/office/drawing/2014/main" id="{D9D1CD30-61B1-8A07-8D3E-A81BE8BE2D69}"/>
              </a:ext>
            </a:extLst>
          </xdr:cNvPr>
          <xdr:cNvSpPr/>
        </xdr:nvSpPr>
        <xdr:spPr>
          <a:xfrm>
            <a:off x="10247345" y="1959815"/>
            <a:ext cx="379037" cy="814930"/>
          </a:xfrm>
          <a:custGeom>
            <a:avLst/>
            <a:gdLst/>
            <a:ahLst/>
            <a:cxnLst/>
            <a:rect l="0" t="0" r="0" b="0"/>
            <a:pathLst>
              <a:path>
                <a:moveTo>
                  <a:pt x="0" y="0"/>
                </a:moveTo>
                <a:lnTo>
                  <a:pt x="189518" y="0"/>
                </a:lnTo>
                <a:lnTo>
                  <a:pt x="189518" y="814930"/>
                </a:lnTo>
                <a:lnTo>
                  <a:pt x="379037" y="81493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1" name="Freeform: Shape 10">
            <a:extLst>
              <a:ext uri="{FF2B5EF4-FFF2-40B4-BE49-F238E27FC236}">
                <a16:creationId xmlns:a16="http://schemas.microsoft.com/office/drawing/2014/main" id="{83183C6B-34D2-D6CE-37AF-AA59FBD5629F}"/>
              </a:ext>
            </a:extLst>
          </xdr:cNvPr>
          <xdr:cNvSpPr/>
        </xdr:nvSpPr>
        <xdr:spPr>
          <a:xfrm>
            <a:off x="10247345" y="1914095"/>
            <a:ext cx="379037" cy="91440"/>
          </a:xfrm>
          <a:custGeom>
            <a:avLst/>
            <a:gdLst/>
            <a:ahLst/>
            <a:cxnLst/>
            <a:rect l="0" t="0" r="0" b="0"/>
            <a:pathLst>
              <a:path>
                <a:moveTo>
                  <a:pt x="0" y="45720"/>
                </a:moveTo>
                <a:lnTo>
                  <a:pt x="379037" y="4572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2" name="Freeform: Shape 11">
            <a:extLst>
              <a:ext uri="{FF2B5EF4-FFF2-40B4-BE49-F238E27FC236}">
                <a16:creationId xmlns:a16="http://schemas.microsoft.com/office/drawing/2014/main" id="{187E55EF-53D7-20AA-CC1E-975E7313B510}"/>
              </a:ext>
            </a:extLst>
          </xdr:cNvPr>
          <xdr:cNvSpPr/>
        </xdr:nvSpPr>
        <xdr:spPr>
          <a:xfrm>
            <a:off x="10247345" y="1144885"/>
            <a:ext cx="379037" cy="814930"/>
          </a:xfrm>
          <a:custGeom>
            <a:avLst/>
            <a:gdLst/>
            <a:ahLst/>
            <a:cxnLst/>
            <a:rect l="0" t="0" r="0" b="0"/>
            <a:pathLst>
              <a:path>
                <a:moveTo>
                  <a:pt x="0" y="814930"/>
                </a:moveTo>
                <a:lnTo>
                  <a:pt x="189518" y="814930"/>
                </a:lnTo>
                <a:lnTo>
                  <a:pt x="189518" y="0"/>
                </a:lnTo>
                <a:lnTo>
                  <a:pt x="379037" y="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3" name="Freeform: Shape 12">
            <a:extLst>
              <a:ext uri="{FF2B5EF4-FFF2-40B4-BE49-F238E27FC236}">
                <a16:creationId xmlns:a16="http://schemas.microsoft.com/office/drawing/2014/main" id="{82DF7964-0BF7-9ECD-FDDA-F8323AAC3CDE}"/>
              </a:ext>
            </a:extLst>
          </xdr:cNvPr>
          <xdr:cNvSpPr/>
        </xdr:nvSpPr>
        <xdr:spPr>
          <a:xfrm>
            <a:off x="7973120" y="1914095"/>
            <a:ext cx="379037" cy="91440"/>
          </a:xfrm>
          <a:custGeom>
            <a:avLst/>
            <a:gdLst/>
            <a:ahLst/>
            <a:cxnLst/>
            <a:rect l="0" t="0" r="0" b="0"/>
            <a:pathLst>
              <a:path>
                <a:moveTo>
                  <a:pt x="0" y="45720"/>
                </a:moveTo>
                <a:lnTo>
                  <a:pt x="379037" y="4572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4" name="Freeform: Shape 13">
            <a:extLst>
              <a:ext uri="{FF2B5EF4-FFF2-40B4-BE49-F238E27FC236}">
                <a16:creationId xmlns:a16="http://schemas.microsoft.com/office/drawing/2014/main" id="{A11EAB40-E4AD-3F3A-A679-81A6C098B99F}"/>
              </a:ext>
            </a:extLst>
          </xdr:cNvPr>
          <xdr:cNvSpPr/>
        </xdr:nvSpPr>
        <xdr:spPr>
          <a:xfrm>
            <a:off x="5698896" y="1914095"/>
            <a:ext cx="379037" cy="91440"/>
          </a:xfrm>
          <a:custGeom>
            <a:avLst/>
            <a:gdLst/>
            <a:ahLst/>
            <a:cxnLst/>
            <a:rect l="0" t="0" r="0" b="0"/>
            <a:pathLst>
              <a:path>
                <a:moveTo>
                  <a:pt x="0" y="45720"/>
                </a:moveTo>
                <a:lnTo>
                  <a:pt x="379037" y="4572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5" name="Freeform: Shape 14">
            <a:extLst>
              <a:ext uri="{FF2B5EF4-FFF2-40B4-BE49-F238E27FC236}">
                <a16:creationId xmlns:a16="http://schemas.microsoft.com/office/drawing/2014/main" id="{DE5BF01F-26C4-36EC-6B88-E2C086F3520B}"/>
              </a:ext>
            </a:extLst>
          </xdr:cNvPr>
          <xdr:cNvSpPr/>
        </xdr:nvSpPr>
        <xdr:spPr>
          <a:xfrm>
            <a:off x="3424672" y="1914095"/>
            <a:ext cx="379037" cy="91440"/>
          </a:xfrm>
          <a:custGeom>
            <a:avLst/>
            <a:gdLst/>
            <a:ahLst/>
            <a:cxnLst/>
            <a:rect l="0" t="0" r="0" b="0"/>
            <a:pathLst>
              <a:path>
                <a:moveTo>
                  <a:pt x="0" y="45720"/>
                </a:moveTo>
                <a:lnTo>
                  <a:pt x="379037" y="4572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6" name="Freeform: Shape 15">
            <a:extLst>
              <a:ext uri="{FF2B5EF4-FFF2-40B4-BE49-F238E27FC236}">
                <a16:creationId xmlns:a16="http://schemas.microsoft.com/office/drawing/2014/main" id="{54D1D892-A3CE-131C-3A11-BC94C5978C19}"/>
              </a:ext>
            </a:extLst>
          </xdr:cNvPr>
          <xdr:cNvSpPr/>
        </xdr:nvSpPr>
        <xdr:spPr>
          <a:xfrm>
            <a:off x="1529485" y="167079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xdr:spPr>
        <xdr:style>
          <a:lnRef idx="2">
            <a:schemeClr val="dk1"/>
          </a:lnRef>
          <a:fillRef idx="1">
            <a:schemeClr val="lt1"/>
          </a:fillRef>
          <a:effectRef idx="0">
            <a:schemeClr val="dk1"/>
          </a:effectRef>
          <a:fontRef idx="minor">
            <a:schemeClr val="dk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Clima orgaizacional se completa</a:t>
            </a:r>
          </a:p>
        </xdr:txBody>
      </xdr:sp>
      <xdr:sp macro="" textlink="">
        <xdr:nvSpPr>
          <xdr:cNvPr id="17" name="Freeform: Shape 16">
            <a:hlinkClick xmlns:r="http://schemas.openxmlformats.org/officeDocument/2006/relationships" r:id="rId1"/>
            <a:extLst>
              <a:ext uri="{FF2B5EF4-FFF2-40B4-BE49-F238E27FC236}">
                <a16:creationId xmlns:a16="http://schemas.microsoft.com/office/drawing/2014/main" id="{1B8A8BA2-283E-E820-54C6-D588510B97C5}"/>
              </a:ext>
            </a:extLst>
          </xdr:cNvPr>
          <xdr:cNvSpPr/>
        </xdr:nvSpPr>
        <xdr:spPr>
          <a:xfrm>
            <a:off x="3803709" y="167079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Tabla de requerimientos y progreso se llena por el sistema</a:t>
            </a:r>
          </a:p>
        </xdr:txBody>
      </xdr:sp>
      <xdr:sp macro="" textlink="">
        <xdr:nvSpPr>
          <xdr:cNvPr id="18" name="Freeform: Shape 17">
            <a:hlinkClick xmlns:r="http://schemas.openxmlformats.org/officeDocument/2006/relationships" r:id="rId2"/>
            <a:extLst>
              <a:ext uri="{FF2B5EF4-FFF2-40B4-BE49-F238E27FC236}">
                <a16:creationId xmlns:a16="http://schemas.microsoft.com/office/drawing/2014/main" id="{5868FF70-47F4-00D6-6C17-DDE7651FB3FA}"/>
              </a:ext>
            </a:extLst>
          </xdr:cNvPr>
          <xdr:cNvSpPr/>
        </xdr:nvSpPr>
        <xdr:spPr>
          <a:xfrm>
            <a:off x="6077934" y="167079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Jefes de área reciben requerimiento para crear plan por factor afectado (para su área)</a:t>
            </a:r>
          </a:p>
        </xdr:txBody>
      </xdr:sp>
      <xdr:sp macro="" textlink="">
        <xdr:nvSpPr>
          <xdr:cNvPr id="19" name="Freeform: Shape 18">
            <a:hlinkClick xmlns:r="http://schemas.openxmlformats.org/officeDocument/2006/relationships" r:id="rId2"/>
            <a:extLst>
              <a:ext uri="{FF2B5EF4-FFF2-40B4-BE49-F238E27FC236}">
                <a16:creationId xmlns:a16="http://schemas.microsoft.com/office/drawing/2014/main" id="{F35556F0-FFF0-CD4D-3854-FADC72E50BFD}"/>
              </a:ext>
            </a:extLst>
          </xdr:cNvPr>
          <xdr:cNvSpPr/>
        </xdr:nvSpPr>
        <xdr:spPr>
          <a:xfrm>
            <a:off x="8352158" y="167079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Llenan sus planes en el template de plan</a:t>
            </a:r>
          </a:p>
        </xdr:txBody>
      </xdr:sp>
      <xdr:sp macro="" textlink="">
        <xdr:nvSpPr>
          <xdr:cNvPr id="20" name="Freeform: Shape 19">
            <a:hlinkClick xmlns:r="http://schemas.openxmlformats.org/officeDocument/2006/relationships" r:id="rId3"/>
            <a:extLst>
              <a:ext uri="{FF2B5EF4-FFF2-40B4-BE49-F238E27FC236}">
                <a16:creationId xmlns:a16="http://schemas.microsoft.com/office/drawing/2014/main" id="{3826565F-4A63-8EAC-9CEA-4E7B66B50417}"/>
              </a:ext>
            </a:extLst>
          </xdr:cNvPr>
          <xdr:cNvSpPr/>
        </xdr:nvSpPr>
        <xdr:spPr>
          <a:xfrm>
            <a:off x="10626382" y="85586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Tracker alimenta Gantt de Progreso</a:t>
            </a:r>
          </a:p>
        </xdr:txBody>
      </xdr:sp>
      <xdr:sp macro="" textlink="">
        <xdr:nvSpPr>
          <xdr:cNvPr id="21" name="Freeform: Shape 20">
            <a:hlinkClick xmlns:r="http://schemas.openxmlformats.org/officeDocument/2006/relationships" r:id="rId4"/>
            <a:extLst>
              <a:ext uri="{FF2B5EF4-FFF2-40B4-BE49-F238E27FC236}">
                <a16:creationId xmlns:a16="http://schemas.microsoft.com/office/drawing/2014/main" id="{74E0BBAF-442B-0249-9816-C42CBF117396}"/>
              </a:ext>
            </a:extLst>
          </xdr:cNvPr>
          <xdr:cNvSpPr/>
        </xdr:nvSpPr>
        <xdr:spPr>
          <a:xfrm>
            <a:off x="10626382" y="167079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Plan general (consolidado de los planes de acción)</a:t>
            </a:r>
          </a:p>
        </xdr:txBody>
      </xdr:sp>
      <xdr:sp macro="" textlink="">
        <xdr:nvSpPr>
          <xdr:cNvPr id="22" name="Freeform: Shape 21">
            <a:hlinkClick xmlns:r="http://schemas.openxmlformats.org/officeDocument/2006/relationships" r:id="rId5"/>
            <a:extLst>
              <a:ext uri="{FF2B5EF4-FFF2-40B4-BE49-F238E27FC236}">
                <a16:creationId xmlns:a16="http://schemas.microsoft.com/office/drawing/2014/main" id="{8BEAB82A-C2A7-C0A4-0ABA-6F6A6462ADD8}"/>
              </a:ext>
            </a:extLst>
          </xdr:cNvPr>
          <xdr:cNvSpPr/>
        </xdr:nvSpPr>
        <xdr:spPr>
          <a:xfrm>
            <a:off x="10626382" y="2485729"/>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Dashboard the requerimiento de planes</a:t>
            </a:r>
          </a:p>
        </xdr:txBody>
      </xdr:sp>
    </xdr:grpSp>
    <xdr:clientData/>
  </xdr:twoCellAnchor>
  <xdr:twoCellAnchor>
    <xdr:from>
      <xdr:col>6</xdr:col>
      <xdr:colOff>140804</xdr:colOff>
      <xdr:row>11</xdr:row>
      <xdr:rowOff>140803</xdr:rowOff>
    </xdr:from>
    <xdr:to>
      <xdr:col>13</xdr:col>
      <xdr:colOff>728873</xdr:colOff>
      <xdr:row>13</xdr:row>
      <xdr:rowOff>66261</xdr:rowOff>
    </xdr:to>
    <xdr:cxnSp macro="">
      <xdr:nvCxnSpPr>
        <xdr:cNvPr id="4" name="Connector: Elbow 3">
          <a:extLst>
            <a:ext uri="{FF2B5EF4-FFF2-40B4-BE49-F238E27FC236}">
              <a16:creationId xmlns:a16="http://schemas.microsoft.com/office/drawing/2014/main" id="{903593BB-CB85-8640-2AE4-721E4AD75406}"/>
            </a:ext>
          </a:extLst>
        </xdr:cNvPr>
        <xdr:cNvCxnSpPr/>
      </xdr:nvCxnSpPr>
      <xdr:spPr>
        <a:xfrm>
          <a:off x="4712804" y="2236303"/>
          <a:ext cx="5922069" cy="306458"/>
        </a:xfrm>
        <a:prstGeom prst="bentConnector3">
          <a:avLst>
            <a:gd name="adj1" fmla="val -230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140804</xdr:colOff>
      <xdr:row>7</xdr:row>
      <xdr:rowOff>82826</xdr:rowOff>
    </xdr:from>
    <xdr:to>
      <xdr:col>15</xdr:col>
      <xdr:colOff>149087</xdr:colOff>
      <xdr:row>8</xdr:row>
      <xdr:rowOff>173935</xdr:rowOff>
    </xdr:to>
    <xdr:cxnSp macro="">
      <xdr:nvCxnSpPr>
        <xdr:cNvPr id="8" name="Straight Arrow Connector 7">
          <a:extLst>
            <a:ext uri="{FF2B5EF4-FFF2-40B4-BE49-F238E27FC236}">
              <a16:creationId xmlns:a16="http://schemas.microsoft.com/office/drawing/2014/main" id="{1BA5776B-2B14-0D20-CD8F-A2E6E397039F}"/>
            </a:ext>
          </a:extLst>
        </xdr:cNvPr>
        <xdr:cNvCxnSpPr/>
      </xdr:nvCxnSpPr>
      <xdr:spPr>
        <a:xfrm>
          <a:off x="11570804" y="1416326"/>
          <a:ext cx="8283" cy="2816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2</xdr:row>
      <xdr:rowOff>9525</xdr:rowOff>
    </xdr:from>
    <xdr:to>
      <xdr:col>9</xdr:col>
      <xdr:colOff>256886</xdr:colOff>
      <xdr:row>5</xdr:row>
      <xdr:rowOff>16056</xdr:rowOff>
    </xdr:to>
    <xdr:sp macro="" textlink="">
      <xdr:nvSpPr>
        <xdr:cNvPr id="2" name="Freeform: Shape 1">
          <a:hlinkClick xmlns:r="http://schemas.openxmlformats.org/officeDocument/2006/relationships" r:id="rId1"/>
          <a:extLst>
            <a:ext uri="{FF2B5EF4-FFF2-40B4-BE49-F238E27FC236}">
              <a16:creationId xmlns:a16="http://schemas.microsoft.com/office/drawing/2014/main" id="{CAE95B96-471F-4B67-85DA-AC589B33CB98}"/>
            </a:ext>
          </a:extLst>
        </xdr:cNvPr>
        <xdr:cNvSpPr/>
      </xdr:nvSpPr>
      <xdr:spPr>
        <a:xfrm>
          <a:off x="6867525" y="390525"/>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Regresar</a:t>
          </a:r>
          <a:r>
            <a:rPr lang="es-GT" sz="1000" kern="1200" baseline="0"/>
            <a:t> al flujograma</a:t>
          </a:r>
          <a:endParaRPr lang="es-GT" sz="10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228600</xdr:rowOff>
    </xdr:from>
    <xdr:to>
      <xdr:col>2</xdr:col>
      <xdr:colOff>866486</xdr:colOff>
      <xdr:row>1</xdr:row>
      <xdr:rowOff>273231</xdr:rowOff>
    </xdr:to>
    <xdr:sp macro="" textlink="">
      <xdr:nvSpPr>
        <xdr:cNvPr id="2" name="Freeform: Shape 1">
          <a:hlinkClick xmlns:r="http://schemas.openxmlformats.org/officeDocument/2006/relationships" r:id="rId1"/>
          <a:extLst>
            <a:ext uri="{FF2B5EF4-FFF2-40B4-BE49-F238E27FC236}">
              <a16:creationId xmlns:a16="http://schemas.microsoft.com/office/drawing/2014/main" id="{3409742A-B69A-4D8C-AF8A-45B185BB1FDC}"/>
            </a:ext>
          </a:extLst>
        </xdr:cNvPr>
        <xdr:cNvSpPr/>
      </xdr:nvSpPr>
      <xdr:spPr>
        <a:xfrm>
          <a:off x="2371725" y="228600"/>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Regresar</a:t>
          </a:r>
          <a:r>
            <a:rPr lang="es-GT" sz="1000" kern="1200" baseline="0"/>
            <a:t> al flujograma</a:t>
          </a:r>
          <a:endParaRPr lang="es-GT" sz="1000" kern="12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25400</xdr:colOff>
          <xdr:row>7</xdr:row>
          <xdr:rowOff>63500</xdr:rowOff>
        </xdr:from>
        <xdr:to>
          <xdr:col>78</xdr:col>
          <xdr:colOff>558800</xdr:colOff>
          <xdr:row>8</xdr:row>
          <xdr:rowOff>0</xdr:rowOff>
        </xdr:to>
        <xdr:sp macro="" textlink="">
          <xdr:nvSpPr>
            <xdr:cNvPr id="2049" name="Barra de desplazamiento 1" descr="Barra de desplazamiento para desplazarse por la escala de tiempo del proyecto Ghantt."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xdr:col>
      <xdr:colOff>0</xdr:colOff>
      <xdr:row>1</xdr:row>
      <xdr:rowOff>0</xdr:rowOff>
    </xdr:from>
    <xdr:to>
      <xdr:col>2</xdr:col>
      <xdr:colOff>147069</xdr:colOff>
      <xdr:row>6</xdr:row>
      <xdr:rowOff>6531</xdr:rowOff>
    </xdr:to>
    <xdr:sp macro="" textlink="">
      <xdr:nvSpPr>
        <xdr:cNvPr id="2" name="Freeform: Shape 1">
          <a:hlinkClick xmlns:r="http://schemas.openxmlformats.org/officeDocument/2006/relationships" r:id="rId1"/>
          <a:extLst>
            <a:ext uri="{FF2B5EF4-FFF2-40B4-BE49-F238E27FC236}">
              <a16:creationId xmlns:a16="http://schemas.microsoft.com/office/drawing/2014/main" id="{79D47C08-281F-423B-9694-10105FB5B20A}"/>
            </a:ext>
          </a:extLst>
        </xdr:cNvPr>
        <xdr:cNvSpPr/>
      </xdr:nvSpPr>
      <xdr:spPr>
        <a:xfrm>
          <a:off x="224118" y="313765"/>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Regresar</a:t>
          </a:r>
          <a:r>
            <a:rPr lang="es-GT" sz="1000" kern="1200" baseline="0"/>
            <a:t> al flujograma</a:t>
          </a:r>
          <a:endParaRPr lang="es-GT" sz="10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557893</xdr:colOff>
      <xdr:row>3</xdr:row>
      <xdr:rowOff>27214</xdr:rowOff>
    </xdr:from>
    <xdr:to>
      <xdr:col>1</xdr:col>
      <xdr:colOff>1306286</xdr:colOff>
      <xdr:row>6</xdr:row>
      <xdr:rowOff>54429</xdr:rowOff>
    </xdr:to>
    <xdr:sp macro="" textlink="">
      <xdr:nvSpPr>
        <xdr:cNvPr id="2" name="Freeform: Shape 1">
          <a:hlinkClick xmlns:r="http://schemas.openxmlformats.org/officeDocument/2006/relationships" r:id="rId1"/>
          <a:extLst>
            <a:ext uri="{FF2B5EF4-FFF2-40B4-BE49-F238E27FC236}">
              <a16:creationId xmlns:a16="http://schemas.microsoft.com/office/drawing/2014/main" id="{235E56DA-4ADB-4C30-A742-03ADD4373505}"/>
            </a:ext>
          </a:extLst>
        </xdr:cNvPr>
        <xdr:cNvSpPr/>
      </xdr:nvSpPr>
      <xdr:spPr>
        <a:xfrm>
          <a:off x="557893" y="816428"/>
          <a:ext cx="2163536" cy="66675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Regresar</a:t>
          </a:r>
          <a:r>
            <a:rPr lang="es-GT" sz="1000" kern="1200" baseline="0"/>
            <a:t> al flujograma</a:t>
          </a:r>
          <a:endParaRPr lang="es-GT" sz="10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0</xdr:row>
      <xdr:rowOff>0</xdr:rowOff>
    </xdr:from>
    <xdr:to>
      <xdr:col>6</xdr:col>
      <xdr:colOff>37811</xdr:colOff>
      <xdr:row>3</xdr:row>
      <xdr:rowOff>6531</xdr:rowOff>
    </xdr:to>
    <xdr:sp macro="" textlink="">
      <xdr:nvSpPr>
        <xdr:cNvPr id="2" name="Freeform: Shape 1">
          <a:hlinkClick xmlns:r="http://schemas.openxmlformats.org/officeDocument/2006/relationships" r:id="rId1"/>
          <a:extLst>
            <a:ext uri="{FF2B5EF4-FFF2-40B4-BE49-F238E27FC236}">
              <a16:creationId xmlns:a16="http://schemas.microsoft.com/office/drawing/2014/main" id="{8628B3BB-3D5E-4381-AABD-529352A88E63}"/>
            </a:ext>
          </a:extLst>
        </xdr:cNvPr>
        <xdr:cNvSpPr/>
      </xdr:nvSpPr>
      <xdr:spPr>
        <a:xfrm>
          <a:off x="4419600" y="0"/>
          <a:ext cx="1895186" cy="578031"/>
        </a:xfrm>
        <a:custGeom>
          <a:avLst/>
          <a:gdLst>
            <a:gd name="csX0" fmla="*/ 0 w 1895186"/>
            <a:gd name="csY0" fmla="*/ 0 h 578031"/>
            <a:gd name="csX1" fmla="*/ 1895186 w 1895186"/>
            <a:gd name="csY1" fmla="*/ 0 h 578031"/>
            <a:gd name="csX2" fmla="*/ 1895186 w 1895186"/>
            <a:gd name="csY2" fmla="*/ 578031 h 578031"/>
            <a:gd name="csX3" fmla="*/ 0 w 1895186"/>
            <a:gd name="csY3" fmla="*/ 578031 h 578031"/>
            <a:gd name="csX4" fmla="*/ 0 w 1895186"/>
            <a:gd name="csY4" fmla="*/ 0 h 578031"/>
          </a:gdLst>
          <a:ahLst/>
          <a:cxnLst>
            <a:cxn ang="0">
              <a:pos x="csX0" y="csY0"/>
            </a:cxn>
            <a:cxn ang="0">
              <a:pos x="csX1" y="csY1"/>
            </a:cxn>
            <a:cxn ang="0">
              <a:pos x="csX2" y="csY2"/>
            </a:cxn>
            <a:cxn ang="0">
              <a:pos x="csX3" y="csY3"/>
            </a:cxn>
            <a:cxn ang="0">
              <a:pos x="csX4" y="csY4"/>
            </a:cxn>
          </a:cxnLst>
          <a:rect l="l" t="t" r="r" b="b"/>
          <a:pathLst>
            <a:path w="1895186" h="578031">
              <a:moveTo>
                <a:pt x="0" y="0"/>
              </a:moveTo>
              <a:lnTo>
                <a:pt x="1895186" y="0"/>
              </a:lnTo>
              <a:lnTo>
                <a:pt x="1895186" y="578031"/>
              </a:lnTo>
              <a:lnTo>
                <a:pt x="0" y="578031"/>
              </a:lnTo>
              <a:lnTo>
                <a:pt x="0" y="0"/>
              </a:lnTo>
              <a:close/>
            </a:path>
          </a:pathLst>
        </a:cu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s-GT" sz="1000" kern="1200"/>
            <a:t>Regresar</a:t>
          </a:r>
          <a:r>
            <a:rPr lang="es-GT" sz="1000" kern="1200" baseline="0"/>
            <a:t> al flujograma</a:t>
          </a:r>
          <a:endParaRPr lang="es-GT" sz="1000" kern="12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vier Mangels" refreshedDate="46161.416706944445" createdVersion="8" refreshedVersion="8" minRefreshableVersion="3" recordCount="6" xr:uid="{ECDEA88E-22F3-4893-9A50-9FFE81CBF118}">
  <cacheSource type="worksheet">
    <worksheetSource name="Tabla2"/>
  </cacheSource>
  <cacheFields count="5">
    <cacheField name="Area afectada" numFmtId="0">
      <sharedItems count="3">
        <s v="Area 1"/>
        <s v="Area 2"/>
        <s v="Area 3"/>
      </sharedItems>
    </cacheField>
    <cacheField name="Factor" numFmtId="0">
      <sharedItems/>
    </cacheField>
    <cacheField name="Jefe de área" numFmtId="0">
      <sharedItems count="3">
        <s v="Estuardo"/>
        <s v="Xavier"/>
        <s v="Melisa"/>
      </sharedItems>
    </cacheField>
    <cacheField name="Plan Creado" numFmtId="0">
      <sharedItems count="2">
        <s v="Si"/>
        <s v="No"/>
      </sharedItems>
    </cacheField>
    <cacheField name="progreso" numFmtId="9">
      <sharedItems containsSemiMixedTypes="0" containsString="0" containsNumber="1" minValue="0" maxValue="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Liderazgo"/>
    <x v="0"/>
    <x v="0"/>
    <n v="0.5"/>
  </r>
  <r>
    <x v="0"/>
    <s v="comunicación "/>
    <x v="0"/>
    <x v="0"/>
    <n v="0.7"/>
  </r>
  <r>
    <x v="0"/>
    <s v="Trabajo en equipo"/>
    <x v="0"/>
    <x v="1"/>
    <n v="0"/>
  </r>
  <r>
    <x v="1"/>
    <s v="Liderazgo"/>
    <x v="1"/>
    <x v="1"/>
    <n v="0"/>
  </r>
  <r>
    <x v="2"/>
    <s v="comunicación "/>
    <x v="2"/>
    <x v="1"/>
    <n v="0"/>
  </r>
  <r>
    <x v="2"/>
    <s v="Trabajo en equipo"/>
    <x v="2"/>
    <x v="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5F6F4A-F40C-401B-B59A-5F1DC09506A1}"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0" firstHeaderRow="0" firstDataRow="1" firstDataCol="1"/>
  <pivotFields count="5">
    <pivotField axis="axisRow" showAll="0">
      <items count="4">
        <item x="0"/>
        <item x="1"/>
        <item x="2"/>
        <item t="default"/>
      </items>
    </pivotField>
    <pivotField showAll="0"/>
    <pivotField axis="axisRow" showAll="0">
      <items count="4">
        <item x="0"/>
        <item x="2"/>
        <item x="1"/>
        <item t="default"/>
      </items>
    </pivotField>
    <pivotField dataField="1" showAll="0">
      <items count="3">
        <item x="1"/>
        <item x="0"/>
        <item t="default"/>
      </items>
    </pivotField>
    <pivotField dataField="1" numFmtId="9" showAll="0"/>
  </pivotFields>
  <rowFields count="2">
    <field x="0"/>
    <field x="2"/>
  </rowFields>
  <rowItems count="7">
    <i>
      <x/>
    </i>
    <i r="1">
      <x/>
    </i>
    <i>
      <x v="1"/>
    </i>
    <i r="1">
      <x v="2"/>
    </i>
    <i>
      <x v="2"/>
    </i>
    <i r="1">
      <x v="1"/>
    </i>
    <i t="grand">
      <x/>
    </i>
  </rowItems>
  <colFields count="1">
    <field x="-2"/>
  </colFields>
  <colItems count="2">
    <i>
      <x/>
    </i>
    <i i="1">
      <x v="1"/>
    </i>
  </colItems>
  <dataFields count="2">
    <dataField name="Cuenta de Plan Creado" fld="3" subtotal="count" baseField="0" baseItem="0"/>
    <dataField name="Promedio de progreso"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E6D604-DF17-4048-B47C-24CA6E90C377}" name="Tabla2" displayName="Tabla2" ref="A1:E7" totalsRowShown="0">
  <autoFilter ref="A1:E7" xr:uid="{7AE6D604-DF17-4048-B47C-24CA6E90C377}"/>
  <tableColumns count="5">
    <tableColumn id="1" xr3:uid="{73D195EC-CE52-4F64-9CF4-C93A9AB17AD6}" name="Area afectada"/>
    <tableColumn id="2" xr3:uid="{DAACEAA4-B5D1-42ED-BA3D-6451F7A0229C}" name="Factor"/>
    <tableColumn id="3" xr3:uid="{97FFC3F0-7970-4738-A7EB-1C3592B7AEB4}" name="Jefe de área"/>
    <tableColumn id="4" xr3:uid="{638E3774-FAE9-4858-9C19-B5EB4CC79420}" name="Plan Creado"/>
    <tableColumn id="5" xr3:uid="{4A8E8E20-C37B-4208-B722-71996BB07060}" name="progreso"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0C1899-F991-48FA-B054-5C006C88C110}" name="Hitos43524" displayName="Hitos43524" ref="B10:K48" totalsRowShown="0" headerRowDxfId="34">
  <autoFilter ref="B10:K48" xr:uid="{29E5A880-80D5-4B65-B5FB-8FB3913D3D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EA6ED02-B5E6-47E5-9DA6-C2D92257610F}" name="Planes de acción" dataDxfId="33"/>
    <tableColumn id="11" xr3:uid="{EAB0EFB9-6CA1-4438-80F5-6C54FD8B45E0}" name="Factor" dataDxfId="32"/>
    <tableColumn id="2" xr3:uid="{CCEF2457-D607-4A77-B5C9-60CB0BF978DF}" name="Factor2" dataDxfId="31"/>
    <tableColumn id="3" xr3:uid="{BEF2708C-ACEC-4AEE-964D-9391063B2196}" name="Área" dataDxfId="30"/>
    <tableColumn id="13" xr3:uid="{E8D26A06-9382-4C7D-B7FD-BA524F295640}" name="Responsible" dataDxfId="29"/>
    <tableColumn id="8" xr3:uid="{E6DCFC47-741A-4851-93D0-C778B7DE0D47}" name="Entregable/Criterio de Evidencia" dataDxfId="28"/>
    <tableColumn id="4" xr3:uid="{696CACB6-81E1-405F-B084-A1CE057E20AE}" name="Progreso"/>
    <tableColumn id="5" xr3:uid="{A7EA7BE9-771B-4A41-87CB-C75E29A8C72F}" name="Fecha para Completar" dataCellStyle="Fecha"/>
    <tableColumn id="9" xr3:uid="{55E3FD8C-A130-4915-A752-E7323D086E4D}" name="Evidencia" dataDxfId="27" dataCellStyle="Fecha"/>
    <tableColumn id="6" xr3:uid="{FFF129A5-AD96-49BC-A36A-B1324D7A73F3}"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table" Target="../tables/table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F702-E4E7-44FB-9F6D-4A14601261C2}">
  <dimension ref="C2"/>
  <sheetViews>
    <sheetView zoomScale="115" zoomScaleNormal="115" workbookViewId="0"/>
  </sheetViews>
  <sheetFormatPr baseColWidth="10" defaultColWidth="11.5" defaultRowHeight="15" x14ac:dyDescent="0.2"/>
  <sheetData>
    <row r="2" spans="3:3" x14ac:dyDescent="0.2">
      <c r="C2" t="s">
        <v>129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581F8-6380-4BE6-93CF-6CAD31BBD1BA}">
  <dimension ref="A1:E7"/>
  <sheetViews>
    <sheetView zoomScale="140" zoomScaleNormal="140" workbookViewId="0">
      <selection activeCell="C1" sqref="C1:C1048576"/>
    </sheetView>
  </sheetViews>
  <sheetFormatPr baseColWidth="10" defaultColWidth="11.5" defaultRowHeight="15" x14ac:dyDescent="0.2"/>
  <cols>
    <col min="1" max="1" width="15.33203125" customWidth="1"/>
    <col min="2" max="3" width="20.5" customWidth="1"/>
    <col min="4" max="4" width="14.5" bestFit="1" customWidth="1"/>
    <col min="5" max="5" width="10.83203125" customWidth="1"/>
  </cols>
  <sheetData>
    <row r="1" spans="1:5" x14ac:dyDescent="0.2">
      <c r="A1" t="s">
        <v>111</v>
      </c>
      <c r="B1" t="s">
        <v>106</v>
      </c>
      <c r="C1" t="s">
        <v>118</v>
      </c>
      <c r="D1" t="s">
        <v>122</v>
      </c>
      <c r="E1" t="s">
        <v>112</v>
      </c>
    </row>
    <row r="2" spans="1:5" x14ac:dyDescent="0.2">
      <c r="A2" t="s">
        <v>113</v>
      </c>
      <c r="B2" t="s">
        <v>116</v>
      </c>
      <c r="C2" t="s">
        <v>119</v>
      </c>
      <c r="D2" t="s">
        <v>123</v>
      </c>
      <c r="E2" s="137">
        <v>0.5</v>
      </c>
    </row>
    <row r="3" spans="1:5" x14ac:dyDescent="0.2">
      <c r="A3" t="s">
        <v>113</v>
      </c>
      <c r="B3" t="s">
        <v>117</v>
      </c>
      <c r="C3" t="s">
        <v>119</v>
      </c>
      <c r="D3" t="s">
        <v>123</v>
      </c>
      <c r="E3" s="137">
        <v>0.7</v>
      </c>
    </row>
    <row r="4" spans="1:5" x14ac:dyDescent="0.2">
      <c r="A4" t="s">
        <v>113</v>
      </c>
      <c r="B4" t="s">
        <v>108</v>
      </c>
      <c r="C4" t="s">
        <v>119</v>
      </c>
      <c r="D4" t="s">
        <v>124</v>
      </c>
      <c r="E4" s="137">
        <v>0</v>
      </c>
    </row>
    <row r="5" spans="1:5" x14ac:dyDescent="0.2">
      <c r="A5" t="s">
        <v>114</v>
      </c>
      <c r="B5" t="s">
        <v>116</v>
      </c>
      <c r="C5" t="s">
        <v>120</v>
      </c>
      <c r="D5" t="s">
        <v>124</v>
      </c>
      <c r="E5" s="137">
        <v>0</v>
      </c>
    </row>
    <row r="6" spans="1:5" x14ac:dyDescent="0.2">
      <c r="A6" t="s">
        <v>115</v>
      </c>
      <c r="B6" t="s">
        <v>117</v>
      </c>
      <c r="C6" t="s">
        <v>121</v>
      </c>
      <c r="D6" t="s">
        <v>124</v>
      </c>
      <c r="E6" s="137">
        <v>0</v>
      </c>
    </row>
    <row r="7" spans="1:5" x14ac:dyDescent="0.2">
      <c r="A7" t="s">
        <v>115</v>
      </c>
      <c r="B7" t="s">
        <v>108</v>
      </c>
      <c r="C7" t="s">
        <v>121</v>
      </c>
      <c r="D7" t="s">
        <v>123</v>
      </c>
      <c r="E7" s="137">
        <v>0.6</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1A96-E3F0-4D3C-9CB8-F5EF2FEB8555}">
  <dimension ref="A1:Q37"/>
  <sheetViews>
    <sheetView zoomScale="90" zoomScaleNormal="90" workbookViewId="0">
      <selection activeCell="A12" sqref="A8:A12"/>
    </sheetView>
  </sheetViews>
  <sheetFormatPr baseColWidth="10" defaultColWidth="8.83203125" defaultRowHeight="15" x14ac:dyDescent="0.2"/>
  <cols>
    <col min="1" max="1" width="35.5" customWidth="1"/>
    <col min="2" max="2" width="15.5" customWidth="1"/>
    <col min="3" max="3" width="15.83203125" customWidth="1"/>
    <col min="4" max="4" width="15" customWidth="1"/>
    <col min="5" max="5" width="24.83203125" customWidth="1"/>
    <col min="6" max="6" width="13.6640625" customWidth="1"/>
    <col min="7" max="7" width="35.5" customWidth="1"/>
    <col min="8" max="8" width="15.5" customWidth="1"/>
    <col min="9" max="9" width="15.83203125" customWidth="1"/>
    <col min="10" max="10" width="15" customWidth="1"/>
    <col min="11" max="11" width="24.83203125" customWidth="1"/>
    <col min="13" max="13" width="35.5" customWidth="1"/>
    <col min="14" max="14" width="15.5" customWidth="1"/>
    <col min="15" max="15" width="15.83203125" customWidth="1"/>
    <col min="16" max="16" width="15" customWidth="1"/>
    <col min="17" max="17" width="24.83203125" customWidth="1"/>
  </cols>
  <sheetData>
    <row r="1" spans="1:17" ht="42" customHeight="1" x14ac:dyDescent="0.2"/>
    <row r="2" spans="1:17" ht="42" customHeight="1" x14ac:dyDescent="0.2"/>
    <row r="3" spans="1:17" ht="44.25" customHeight="1" x14ac:dyDescent="0.2">
      <c r="A3" s="141" t="s">
        <v>147</v>
      </c>
      <c r="B3" s="148"/>
      <c r="C3" s="149"/>
      <c r="D3" s="149"/>
      <c r="E3" s="150"/>
      <c r="G3" s="141" t="s">
        <v>148</v>
      </c>
      <c r="H3" s="148"/>
      <c r="I3" s="149"/>
      <c r="J3" s="149"/>
      <c r="K3" s="150"/>
      <c r="M3" s="141" t="s">
        <v>149</v>
      </c>
      <c r="N3" s="148"/>
      <c r="O3" s="149"/>
      <c r="P3" s="149"/>
      <c r="Q3" s="150"/>
    </row>
    <row r="4" spans="1:17" ht="44.25" customHeight="1" x14ac:dyDescent="0.2">
      <c r="A4" s="141" t="s">
        <v>109</v>
      </c>
      <c r="B4" s="148"/>
      <c r="C4" s="149"/>
      <c r="D4" s="149"/>
      <c r="E4" s="150"/>
      <c r="G4" s="141" t="s">
        <v>109</v>
      </c>
      <c r="H4" s="148"/>
      <c r="I4" s="149"/>
      <c r="J4" s="149"/>
      <c r="K4" s="150"/>
      <c r="M4" s="141" t="s">
        <v>109</v>
      </c>
      <c r="N4" s="148"/>
      <c r="O4" s="149"/>
      <c r="P4" s="149"/>
      <c r="Q4" s="150"/>
    </row>
    <row r="5" spans="1:17" ht="44.25" customHeight="1" x14ac:dyDescent="0.2">
      <c r="A5" s="141" t="s">
        <v>106</v>
      </c>
      <c r="B5" s="148"/>
      <c r="C5" s="149"/>
      <c r="D5" s="149"/>
      <c r="E5" s="150"/>
      <c r="G5" s="141" t="s">
        <v>106</v>
      </c>
      <c r="H5" s="148"/>
      <c r="I5" s="149"/>
      <c r="J5" s="149"/>
      <c r="K5" s="150"/>
      <c r="M5" s="141" t="s">
        <v>106</v>
      </c>
      <c r="N5" s="148"/>
      <c r="O5" s="149"/>
      <c r="P5" s="149"/>
      <c r="Q5" s="150"/>
    </row>
    <row r="6" spans="1:17" ht="44.25" customHeight="1" x14ac:dyDescent="0.2">
      <c r="A6" s="141" t="s">
        <v>132</v>
      </c>
      <c r="B6" s="148"/>
      <c r="C6" s="149"/>
      <c r="D6" s="149"/>
      <c r="E6" s="150"/>
      <c r="G6" s="141" t="s">
        <v>132</v>
      </c>
      <c r="H6" s="148"/>
      <c r="I6" s="149"/>
      <c r="J6" s="149"/>
      <c r="K6" s="150"/>
      <c r="M6" s="141" t="s">
        <v>132</v>
      </c>
      <c r="N6" s="148"/>
      <c r="O6" s="149"/>
      <c r="P6" s="149"/>
      <c r="Q6" s="150"/>
    </row>
    <row r="7" spans="1:17" ht="44.25" customHeight="1" x14ac:dyDescent="0.2">
      <c r="A7" s="141" t="s">
        <v>154</v>
      </c>
      <c r="B7" s="148"/>
      <c r="C7" s="149"/>
      <c r="D7" s="149"/>
      <c r="E7" s="150"/>
      <c r="G7" s="141" t="s">
        <v>154</v>
      </c>
      <c r="H7" s="148"/>
      <c r="I7" s="149"/>
      <c r="J7" s="149"/>
      <c r="K7" s="150"/>
      <c r="M7" s="141" t="s">
        <v>154</v>
      </c>
      <c r="N7" s="148"/>
      <c r="O7" s="149"/>
      <c r="P7" s="149"/>
      <c r="Q7" s="150"/>
    </row>
    <row r="8" spans="1:17" ht="44.25" customHeight="1" x14ac:dyDescent="0.2">
      <c r="A8" s="141" t="s">
        <v>155</v>
      </c>
      <c r="B8" s="148"/>
      <c r="C8" s="149"/>
      <c r="D8" s="149"/>
      <c r="E8" s="150"/>
      <c r="G8" s="141" t="s">
        <v>155</v>
      </c>
      <c r="H8" s="148"/>
      <c r="I8" s="149"/>
      <c r="J8" s="149"/>
      <c r="K8" s="150"/>
      <c r="M8" s="141" t="s">
        <v>155</v>
      </c>
      <c r="N8" s="148"/>
      <c r="O8" s="149"/>
      <c r="P8" s="149"/>
      <c r="Q8" s="150"/>
    </row>
    <row r="9" spans="1:17" ht="44.25" customHeight="1" x14ac:dyDescent="0.2">
      <c r="A9" s="145" t="s">
        <v>156</v>
      </c>
      <c r="B9" s="148"/>
      <c r="C9" s="149"/>
      <c r="D9" s="149"/>
      <c r="E9" s="150"/>
      <c r="G9" s="145" t="s">
        <v>156</v>
      </c>
      <c r="H9" s="148"/>
      <c r="I9" s="149"/>
      <c r="J9" s="149"/>
      <c r="K9" s="150"/>
      <c r="M9" s="145" t="s">
        <v>156</v>
      </c>
      <c r="N9" s="148"/>
      <c r="O9" s="149"/>
      <c r="P9" s="149"/>
      <c r="Q9" s="150"/>
    </row>
    <row r="10" spans="1:17" ht="44.25" customHeight="1" x14ac:dyDescent="0.2">
      <c r="A10" s="145" t="s">
        <v>157</v>
      </c>
      <c r="B10" s="148"/>
      <c r="C10" s="149"/>
      <c r="D10" s="149"/>
      <c r="E10" s="150"/>
      <c r="G10" s="145" t="s">
        <v>157</v>
      </c>
      <c r="H10" s="148"/>
      <c r="I10" s="149"/>
      <c r="J10" s="149"/>
      <c r="K10" s="150"/>
      <c r="M10" s="145" t="s">
        <v>157</v>
      </c>
      <c r="N10" s="148"/>
      <c r="O10" s="149"/>
      <c r="P10" s="149"/>
      <c r="Q10" s="150"/>
    </row>
    <row r="11" spans="1:17" ht="44.25" customHeight="1" x14ac:dyDescent="0.2">
      <c r="A11" s="145" t="s">
        <v>158</v>
      </c>
      <c r="B11" s="148"/>
      <c r="C11" s="149"/>
      <c r="D11" s="149"/>
      <c r="E11" s="150"/>
      <c r="G11" s="145" t="s">
        <v>158</v>
      </c>
      <c r="H11" s="148"/>
      <c r="I11" s="149"/>
      <c r="J11" s="149"/>
      <c r="K11" s="150"/>
      <c r="M11" s="145" t="s">
        <v>158</v>
      </c>
      <c r="N11" s="148"/>
      <c r="O11" s="149"/>
      <c r="P11" s="149"/>
      <c r="Q11" s="150"/>
    </row>
    <row r="12" spans="1:17" ht="44.25" customHeight="1" x14ac:dyDescent="0.2">
      <c r="A12" s="145" t="s">
        <v>159</v>
      </c>
      <c r="B12" s="148"/>
      <c r="C12" s="149"/>
      <c r="D12" s="149"/>
      <c r="E12" s="150"/>
      <c r="G12" s="145" t="s">
        <v>159</v>
      </c>
      <c r="H12" s="148"/>
      <c r="I12" s="149"/>
      <c r="J12" s="149"/>
      <c r="K12" s="150"/>
      <c r="M12" s="145" t="s">
        <v>159</v>
      </c>
      <c r="N12" s="148"/>
      <c r="O12" s="149"/>
      <c r="P12" s="149"/>
      <c r="Q12" s="150"/>
    </row>
    <row r="13" spans="1:17" ht="51" x14ac:dyDescent="0.2">
      <c r="A13" s="141" t="s">
        <v>130</v>
      </c>
      <c r="B13" s="143" t="s">
        <v>136</v>
      </c>
      <c r="C13" s="143" t="s">
        <v>137</v>
      </c>
      <c r="D13" s="143" t="s">
        <v>104</v>
      </c>
      <c r="E13" s="143" t="s">
        <v>98</v>
      </c>
      <c r="G13" s="141" t="s">
        <v>130</v>
      </c>
      <c r="H13" s="143" t="s">
        <v>136</v>
      </c>
      <c r="I13" s="143" t="s">
        <v>137</v>
      </c>
      <c r="J13" s="143" t="s">
        <v>104</v>
      </c>
      <c r="K13" s="143" t="s">
        <v>98</v>
      </c>
      <c r="M13" s="141" t="s">
        <v>130</v>
      </c>
      <c r="N13" s="143" t="s">
        <v>136</v>
      </c>
      <c r="O13" s="143" t="s">
        <v>137</v>
      </c>
      <c r="P13" s="143" t="s">
        <v>104</v>
      </c>
      <c r="Q13" s="143" t="s">
        <v>98</v>
      </c>
    </row>
    <row r="14" spans="1:17" x14ac:dyDescent="0.2">
      <c r="A14" s="142" t="s">
        <v>133</v>
      </c>
      <c r="B14" s="142" t="s">
        <v>138</v>
      </c>
      <c r="C14" s="142"/>
      <c r="D14" s="142"/>
      <c r="E14" s="142"/>
      <c r="G14" s="142" t="s">
        <v>133</v>
      </c>
      <c r="H14" s="142" t="s">
        <v>138</v>
      </c>
      <c r="I14" s="142"/>
      <c r="J14" s="142"/>
      <c r="K14" s="142"/>
      <c r="M14" s="142" t="s">
        <v>133</v>
      </c>
      <c r="N14" s="142" t="s">
        <v>138</v>
      </c>
      <c r="O14" s="142"/>
      <c r="P14" s="142"/>
      <c r="Q14" s="142"/>
    </row>
    <row r="15" spans="1:17" x14ac:dyDescent="0.2">
      <c r="A15" s="142" t="s">
        <v>134</v>
      </c>
      <c r="B15" s="142" t="s">
        <v>138</v>
      </c>
      <c r="C15" s="142"/>
      <c r="D15" s="142"/>
      <c r="E15" s="142"/>
      <c r="G15" s="142" t="s">
        <v>134</v>
      </c>
      <c r="H15" s="142" t="s">
        <v>138</v>
      </c>
      <c r="I15" s="142"/>
      <c r="J15" s="142"/>
      <c r="K15" s="142"/>
      <c r="M15" s="142" t="s">
        <v>134</v>
      </c>
      <c r="N15" s="142" t="s">
        <v>138</v>
      </c>
      <c r="O15" s="142"/>
      <c r="P15" s="142"/>
      <c r="Q15" s="142"/>
    </row>
    <row r="16" spans="1:17" x14ac:dyDescent="0.2">
      <c r="A16" s="142" t="s">
        <v>135</v>
      </c>
      <c r="B16" s="142" t="s">
        <v>139</v>
      </c>
      <c r="C16" s="142"/>
      <c r="D16" s="142"/>
      <c r="E16" s="142"/>
      <c r="G16" s="142" t="s">
        <v>135</v>
      </c>
      <c r="H16" s="142" t="s">
        <v>139</v>
      </c>
      <c r="I16" s="142"/>
      <c r="J16" s="142"/>
      <c r="K16" s="142"/>
      <c r="M16" s="142" t="s">
        <v>135</v>
      </c>
      <c r="N16" s="142" t="s">
        <v>139</v>
      </c>
      <c r="O16" s="142"/>
      <c r="P16" s="142"/>
      <c r="Q16" s="142"/>
    </row>
    <row r="17" spans="1:17" x14ac:dyDescent="0.2">
      <c r="A17" s="142"/>
      <c r="B17" s="142"/>
      <c r="C17" s="142"/>
      <c r="D17" s="142"/>
      <c r="E17" s="142"/>
      <c r="G17" s="142"/>
      <c r="H17" s="142"/>
      <c r="I17" s="142"/>
      <c r="J17" s="142"/>
      <c r="K17" s="142"/>
      <c r="M17" s="142"/>
      <c r="N17" s="142"/>
      <c r="O17" s="142"/>
      <c r="P17" s="142"/>
      <c r="Q17" s="142"/>
    </row>
    <row r="18" spans="1:17" x14ac:dyDescent="0.2">
      <c r="A18" s="142"/>
      <c r="B18" s="142"/>
      <c r="C18" s="142"/>
      <c r="D18" s="142"/>
      <c r="E18" s="142"/>
      <c r="G18" s="142"/>
      <c r="H18" s="142"/>
      <c r="I18" s="142"/>
      <c r="J18" s="142"/>
      <c r="K18" s="142"/>
      <c r="M18" s="142"/>
      <c r="N18" s="142"/>
      <c r="O18" s="142"/>
      <c r="P18" s="142"/>
      <c r="Q18" s="142"/>
    </row>
    <row r="19" spans="1:17" x14ac:dyDescent="0.2">
      <c r="A19" s="142"/>
      <c r="B19" s="142"/>
      <c r="C19" s="142"/>
      <c r="D19" s="142"/>
      <c r="E19" s="142"/>
      <c r="G19" s="142"/>
      <c r="H19" s="142"/>
      <c r="I19" s="142"/>
      <c r="J19" s="142"/>
      <c r="K19" s="142"/>
      <c r="M19" s="142"/>
      <c r="N19" s="142"/>
      <c r="O19" s="142"/>
      <c r="P19" s="142"/>
      <c r="Q19" s="142"/>
    </row>
    <row r="20" spans="1:17" x14ac:dyDescent="0.2">
      <c r="A20" s="142"/>
      <c r="B20" s="142"/>
      <c r="C20" s="142"/>
      <c r="D20" s="142"/>
      <c r="E20" s="142"/>
      <c r="G20" s="142"/>
      <c r="H20" s="142"/>
      <c r="I20" s="142"/>
      <c r="J20" s="142"/>
      <c r="K20" s="142"/>
      <c r="M20" s="142"/>
      <c r="N20" s="142"/>
      <c r="O20" s="142"/>
      <c r="P20" s="142"/>
      <c r="Q20" s="142"/>
    </row>
    <row r="21" spans="1:17" x14ac:dyDescent="0.2">
      <c r="A21" s="142"/>
      <c r="B21" s="142"/>
      <c r="C21" s="142"/>
      <c r="D21" s="142"/>
      <c r="E21" s="142"/>
      <c r="G21" s="142"/>
      <c r="H21" s="142"/>
      <c r="I21" s="142"/>
      <c r="J21" s="142"/>
      <c r="K21" s="142"/>
      <c r="M21" s="142"/>
      <c r="N21" s="142"/>
      <c r="O21" s="142"/>
      <c r="P21" s="142"/>
      <c r="Q21" s="142"/>
    </row>
    <row r="22" spans="1:17" x14ac:dyDescent="0.2">
      <c r="A22" s="142"/>
      <c r="B22" s="142"/>
      <c r="C22" s="142"/>
      <c r="D22" s="142"/>
      <c r="E22" s="142"/>
      <c r="G22" s="142"/>
      <c r="H22" s="142"/>
      <c r="I22" s="142"/>
      <c r="J22" s="142"/>
      <c r="K22" s="142"/>
      <c r="M22" s="142"/>
      <c r="N22" s="142"/>
      <c r="O22" s="142"/>
      <c r="P22" s="142"/>
      <c r="Q22" s="142"/>
    </row>
    <row r="23" spans="1:17" x14ac:dyDescent="0.2">
      <c r="A23" s="142"/>
      <c r="B23" s="142"/>
      <c r="C23" s="142"/>
      <c r="D23" s="142"/>
      <c r="E23" s="142"/>
      <c r="G23" s="142"/>
      <c r="H23" s="142"/>
      <c r="I23" s="142"/>
      <c r="J23" s="142"/>
      <c r="K23" s="142"/>
      <c r="M23" s="142"/>
      <c r="N23" s="142"/>
      <c r="O23" s="142"/>
      <c r="P23" s="142"/>
      <c r="Q23" s="142"/>
    </row>
    <row r="24" spans="1:17" x14ac:dyDescent="0.2">
      <c r="A24" s="142"/>
      <c r="B24" s="142"/>
      <c r="C24" s="142"/>
      <c r="D24" s="142"/>
      <c r="E24" s="142"/>
      <c r="G24" s="142"/>
      <c r="H24" s="142"/>
      <c r="I24" s="142"/>
      <c r="J24" s="142"/>
      <c r="K24" s="142"/>
      <c r="M24" s="142"/>
      <c r="N24" s="142"/>
      <c r="O24" s="142"/>
      <c r="P24" s="142"/>
      <c r="Q24" s="142"/>
    </row>
    <row r="25" spans="1:17" x14ac:dyDescent="0.2">
      <c r="A25" s="142"/>
      <c r="B25" s="142"/>
      <c r="C25" s="142"/>
      <c r="D25" s="142"/>
      <c r="E25" s="142"/>
      <c r="G25" s="142"/>
      <c r="H25" s="142"/>
      <c r="I25" s="142"/>
      <c r="J25" s="142"/>
      <c r="K25" s="142"/>
      <c r="M25" s="142"/>
      <c r="N25" s="142"/>
      <c r="O25" s="142"/>
      <c r="P25" s="142"/>
      <c r="Q25" s="142"/>
    </row>
    <row r="26" spans="1:17" x14ac:dyDescent="0.2">
      <c r="A26" s="142"/>
      <c r="B26" s="142"/>
      <c r="C26" s="142"/>
      <c r="D26" s="142"/>
      <c r="E26" s="142"/>
      <c r="G26" s="142"/>
      <c r="H26" s="142"/>
      <c r="I26" s="142"/>
      <c r="J26" s="142"/>
      <c r="K26" s="142"/>
      <c r="M26" s="142"/>
      <c r="N26" s="142"/>
      <c r="O26" s="142"/>
      <c r="P26" s="142"/>
      <c r="Q26" s="142"/>
    </row>
    <row r="27" spans="1:17" x14ac:dyDescent="0.2">
      <c r="A27" s="142"/>
      <c r="B27" s="142"/>
      <c r="C27" s="142"/>
      <c r="D27" s="142"/>
      <c r="E27" s="142"/>
      <c r="G27" s="142"/>
      <c r="H27" s="142"/>
      <c r="I27" s="142"/>
      <c r="J27" s="142"/>
      <c r="K27" s="142"/>
      <c r="M27" s="142"/>
      <c r="N27" s="142"/>
      <c r="O27" s="142"/>
      <c r="P27" s="142"/>
      <c r="Q27" s="142"/>
    </row>
    <row r="28" spans="1:17" x14ac:dyDescent="0.2">
      <c r="A28" s="142"/>
      <c r="B28" s="142"/>
      <c r="C28" s="142"/>
      <c r="D28" s="142"/>
      <c r="E28" s="142"/>
      <c r="G28" s="142"/>
      <c r="H28" s="142"/>
      <c r="I28" s="142"/>
      <c r="J28" s="142"/>
      <c r="K28" s="142"/>
      <c r="M28" s="142"/>
      <c r="N28" s="142"/>
      <c r="O28" s="142"/>
      <c r="P28" s="142"/>
      <c r="Q28" s="142"/>
    </row>
    <row r="29" spans="1:17" x14ac:dyDescent="0.2">
      <c r="A29" s="142"/>
      <c r="B29" s="142"/>
      <c r="C29" s="142"/>
      <c r="D29" s="142"/>
      <c r="E29" s="142"/>
      <c r="G29" s="142"/>
      <c r="H29" s="142"/>
      <c r="I29" s="142"/>
      <c r="J29" s="142"/>
      <c r="K29" s="142"/>
      <c r="M29" s="142"/>
      <c r="N29" s="142"/>
      <c r="O29" s="142"/>
      <c r="P29" s="142"/>
      <c r="Q29" s="142"/>
    </row>
    <row r="30" spans="1:17" x14ac:dyDescent="0.2">
      <c r="A30" s="142"/>
      <c r="B30" s="142"/>
      <c r="C30" s="142"/>
      <c r="D30" s="142"/>
      <c r="E30" s="142"/>
      <c r="G30" s="142"/>
      <c r="H30" s="142"/>
      <c r="I30" s="142"/>
      <c r="J30" s="142"/>
      <c r="K30" s="142"/>
      <c r="M30" s="142"/>
      <c r="N30" s="142"/>
      <c r="O30" s="142"/>
      <c r="P30" s="142"/>
      <c r="Q30" s="142"/>
    </row>
    <row r="31" spans="1:17" x14ac:dyDescent="0.2">
      <c r="A31" s="142"/>
      <c r="B31" s="142"/>
      <c r="C31" s="142"/>
      <c r="D31" s="142"/>
      <c r="E31" s="142"/>
      <c r="G31" s="142"/>
      <c r="H31" s="142"/>
      <c r="I31" s="142"/>
      <c r="J31" s="142"/>
      <c r="K31" s="142"/>
      <c r="M31" s="142"/>
      <c r="N31" s="142"/>
      <c r="O31" s="142"/>
      <c r="P31" s="142"/>
      <c r="Q31" s="142"/>
    </row>
    <row r="32" spans="1:17" x14ac:dyDescent="0.2">
      <c r="A32" s="142"/>
      <c r="B32" s="142"/>
      <c r="C32" s="142"/>
      <c r="D32" s="142"/>
      <c r="E32" s="142"/>
      <c r="G32" s="142"/>
      <c r="H32" s="142"/>
      <c r="I32" s="142"/>
      <c r="J32" s="142"/>
      <c r="K32" s="142"/>
      <c r="M32" s="142"/>
      <c r="N32" s="142"/>
      <c r="O32" s="142"/>
      <c r="P32" s="142"/>
      <c r="Q32" s="142"/>
    </row>
    <row r="33" spans="1:17" x14ac:dyDescent="0.2">
      <c r="A33" s="142"/>
      <c r="B33" s="142"/>
      <c r="C33" s="142"/>
      <c r="D33" s="142"/>
      <c r="E33" s="142"/>
      <c r="G33" s="142"/>
      <c r="H33" s="142"/>
      <c r="I33" s="142"/>
      <c r="J33" s="142"/>
      <c r="K33" s="142"/>
      <c r="M33" s="142"/>
      <c r="N33" s="142"/>
      <c r="O33" s="142"/>
      <c r="P33" s="142"/>
      <c r="Q33" s="142"/>
    </row>
    <row r="36" spans="1:17" ht="16" thickBot="1" x14ac:dyDescent="0.25"/>
    <row r="37" spans="1:17" ht="64" x14ac:dyDescent="0.2">
      <c r="B37" s="5" t="s">
        <v>4</v>
      </c>
      <c r="C37" s="6" t="s">
        <v>5</v>
      </c>
      <c r="D37" s="6" t="s">
        <v>6</v>
      </c>
      <c r="E37" s="6" t="s">
        <v>7</v>
      </c>
      <c r="F37" s="6" t="s">
        <v>8</v>
      </c>
      <c r="G37" s="6" t="s">
        <v>9</v>
      </c>
      <c r="H37" s="6" t="s">
        <v>10</v>
      </c>
      <c r="I37" s="6" t="s">
        <v>11</v>
      </c>
      <c r="J37" s="133" t="s">
        <v>103</v>
      </c>
      <c r="K37" s="133" t="s">
        <v>100</v>
      </c>
      <c r="L37" s="133" t="s">
        <v>101</v>
      </c>
    </row>
  </sheetData>
  <mergeCells count="30">
    <mergeCell ref="B8:E8"/>
    <mergeCell ref="N7:Q7"/>
    <mergeCell ref="N8:Q8"/>
    <mergeCell ref="B3:E3"/>
    <mergeCell ref="B4:E4"/>
    <mergeCell ref="B5:E5"/>
    <mergeCell ref="B6:E6"/>
    <mergeCell ref="H3:K3"/>
    <mergeCell ref="H4:K4"/>
    <mergeCell ref="H5:K5"/>
    <mergeCell ref="H6:K6"/>
    <mergeCell ref="N3:Q3"/>
    <mergeCell ref="N4:Q4"/>
    <mergeCell ref="N5:Q5"/>
    <mergeCell ref="N6:Q6"/>
    <mergeCell ref="B7:E7"/>
    <mergeCell ref="H7:K7"/>
    <mergeCell ref="H8:K8"/>
    <mergeCell ref="H9:K9"/>
    <mergeCell ref="H10:K10"/>
    <mergeCell ref="H11:K11"/>
    <mergeCell ref="N9:Q9"/>
    <mergeCell ref="N10:Q10"/>
    <mergeCell ref="N11:Q11"/>
    <mergeCell ref="N12:Q12"/>
    <mergeCell ref="B9:E9"/>
    <mergeCell ref="B10:E10"/>
    <mergeCell ref="B11:E11"/>
    <mergeCell ref="B12:E12"/>
    <mergeCell ref="H12:K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2D601-08A6-48A4-A067-C171ABD2D613}">
  <sheetPr>
    <outlinePr summaryBelow="0"/>
  </sheetPr>
  <dimension ref="A1:BT48"/>
  <sheetViews>
    <sheetView showGridLines="0" showRuler="0" zoomScale="85" zoomScaleNormal="85" zoomScalePageLayoutView="70" workbookViewId="0">
      <selection activeCell="G7" sqref="G7"/>
    </sheetView>
  </sheetViews>
  <sheetFormatPr baseColWidth="10" defaultColWidth="8.83203125" defaultRowHeight="30" customHeight="1" outlineLevelRow="1" x14ac:dyDescent="0.25"/>
  <cols>
    <col min="1" max="1" width="3.5" style="18" customWidth="1"/>
    <col min="2" max="3" width="26.33203125" customWidth="1"/>
    <col min="4" max="4" width="16.5" hidden="1" customWidth="1"/>
    <col min="5" max="6" width="18.6640625" customWidth="1"/>
    <col min="7" max="7" width="24.1640625" style="19" customWidth="1"/>
    <col min="8" max="8" width="9.33203125" customWidth="1"/>
    <col min="9" max="10" width="13.5" style="2" customWidth="1"/>
    <col min="11" max="11" width="8.6640625" hidden="1" customWidth="1"/>
    <col min="12" max="12" width="2.6640625" customWidth="1"/>
    <col min="13" max="17" width="4" style="20" customWidth="1"/>
    <col min="18" max="19" width="4" style="20" hidden="1" customWidth="1"/>
    <col min="20" max="24" width="4" style="20" customWidth="1"/>
    <col min="25" max="26" width="4" style="20" hidden="1" customWidth="1"/>
    <col min="27" max="31" width="4" style="20" customWidth="1"/>
    <col min="32" max="33" width="4" style="20" hidden="1" customWidth="1"/>
    <col min="34" max="38" width="4" style="20" customWidth="1"/>
    <col min="39" max="40" width="4" style="20" hidden="1" customWidth="1"/>
    <col min="41" max="48" width="4" style="20" customWidth="1"/>
    <col min="49" max="69" width="5.6640625" customWidth="1"/>
  </cols>
  <sheetData>
    <row r="1" spans="1:72" ht="25.25" customHeight="1" x14ac:dyDescent="0.25"/>
    <row r="2" spans="1:72" ht="50" hidden="1" customHeight="1" x14ac:dyDescent="0.25">
      <c r="A2" s="21"/>
      <c r="B2" s="153" t="s">
        <v>73</v>
      </c>
      <c r="C2" s="153"/>
      <c r="D2" s="153"/>
      <c r="E2" s="153"/>
      <c r="F2" s="153"/>
      <c r="G2" s="153"/>
      <c r="H2" s="153"/>
      <c r="I2" s="153"/>
      <c r="J2" s="153"/>
      <c r="K2" s="153"/>
      <c r="L2" s="153"/>
      <c r="M2" s="154"/>
      <c r="N2" s="154"/>
      <c r="O2" s="154"/>
      <c r="P2" s="154"/>
      <c r="Q2" s="154"/>
      <c r="R2" s="154"/>
      <c r="S2" s="154"/>
      <c r="T2" s="154"/>
      <c r="U2" s="154"/>
      <c r="V2" s="154"/>
      <c r="W2" s="154"/>
      <c r="X2" s="154"/>
      <c r="Y2" s="22"/>
      <c r="Z2" s="22"/>
      <c r="AA2" s="22"/>
      <c r="AB2" s="22"/>
      <c r="AC2" s="22"/>
      <c r="AD2" s="22"/>
      <c r="AE2" s="22"/>
      <c r="AF2" s="22"/>
      <c r="AG2" s="22"/>
      <c r="AH2" s="22"/>
      <c r="AI2" s="22"/>
      <c r="AJ2" s="22"/>
      <c r="AK2" s="22"/>
      <c r="AL2" s="22"/>
      <c r="AM2" s="22"/>
      <c r="AN2" s="22"/>
      <c r="AO2" s="22"/>
      <c r="AP2" s="22"/>
      <c r="AQ2" s="22"/>
      <c r="AR2" s="22"/>
      <c r="AS2" s="22"/>
      <c r="AT2" s="22"/>
      <c r="AU2" s="22"/>
      <c r="AV2" s="22"/>
      <c r="AW2" s="23"/>
      <c r="AX2" s="23"/>
      <c r="AY2" s="23"/>
      <c r="AZ2" s="23"/>
      <c r="BA2" s="23"/>
      <c r="BB2" s="23"/>
      <c r="BC2" s="23"/>
      <c r="BD2" s="23"/>
      <c r="BE2" s="23"/>
      <c r="BF2" s="23"/>
      <c r="BG2" s="23"/>
      <c r="BH2" s="23"/>
      <c r="BI2" s="23"/>
      <c r="BJ2" s="23"/>
      <c r="BK2" s="23"/>
      <c r="BL2" s="23"/>
      <c r="BM2" s="23"/>
      <c r="BN2" s="23"/>
      <c r="BO2" s="23"/>
      <c r="BP2" s="23"/>
      <c r="BQ2" s="23"/>
    </row>
    <row r="3" spans="1:72" ht="20" hidden="1" customHeight="1" x14ac:dyDescent="0.25">
      <c r="A3" s="21"/>
      <c r="B3" s="24"/>
      <c r="C3" s="24"/>
      <c r="D3" s="25"/>
      <c r="E3" s="26"/>
      <c r="F3" s="26"/>
      <c r="G3" s="27"/>
      <c r="H3" s="26"/>
      <c r="I3" s="28"/>
      <c r="J3" s="28"/>
      <c r="K3" s="26"/>
      <c r="L3" s="26"/>
      <c r="M3" s="29"/>
      <c r="N3" s="30"/>
      <c r="O3" s="30"/>
      <c r="P3" s="30"/>
    </row>
    <row r="4" spans="1:72" ht="45" hidden="1" customHeight="1" x14ac:dyDescent="0.25">
      <c r="A4" s="21"/>
      <c r="B4" s="31" t="s">
        <v>74</v>
      </c>
      <c r="C4" s="31"/>
      <c r="D4" s="32" t="s">
        <v>75</v>
      </c>
      <c r="E4" s="33"/>
      <c r="F4" s="33"/>
      <c r="G4" s="34" t="s">
        <v>76</v>
      </c>
      <c r="H4" s="35"/>
      <c r="I4" s="36"/>
      <c r="J4" s="36"/>
      <c r="K4" s="37" t="s">
        <v>77</v>
      </c>
      <c r="L4" s="35"/>
      <c r="M4" s="155" t="s">
        <v>78</v>
      </c>
      <c r="N4" s="155"/>
      <c r="O4" s="155"/>
      <c r="P4" s="155"/>
      <c r="Q4" s="38"/>
      <c r="R4" s="156" t="s">
        <v>79</v>
      </c>
      <c r="S4" s="156"/>
      <c r="T4" s="156"/>
      <c r="U4" s="156"/>
      <c r="V4" s="38"/>
      <c r="W4" s="157" t="s">
        <v>80</v>
      </c>
      <c r="X4" s="157"/>
      <c r="Y4" s="157"/>
      <c r="Z4" s="157"/>
      <c r="AA4" s="38"/>
      <c r="AB4" s="151" t="s">
        <v>81</v>
      </c>
      <c r="AC4" s="151"/>
      <c r="AD4" s="151"/>
      <c r="AE4" s="151"/>
      <c r="AF4" s="38"/>
      <c r="AG4" s="152" t="s">
        <v>82</v>
      </c>
      <c r="AH4" s="152"/>
      <c r="AI4" s="152"/>
      <c r="AJ4" s="152"/>
    </row>
    <row r="5" spans="1:72" ht="45" hidden="1" customHeight="1" x14ac:dyDescent="0.25">
      <c r="A5" s="21"/>
      <c r="B5" s="39" t="s">
        <v>83</v>
      </c>
      <c r="C5" s="39"/>
      <c r="D5" s="40" t="s">
        <v>84</v>
      </c>
      <c r="E5" s="33"/>
      <c r="F5" s="33"/>
      <c r="G5" s="41" t="s">
        <v>85</v>
      </c>
      <c r="H5" s="35"/>
      <c r="I5" s="36"/>
      <c r="J5" s="36"/>
      <c r="K5" s="35"/>
      <c r="L5" s="35"/>
    </row>
    <row r="6" spans="1:72" ht="45" customHeight="1" x14ac:dyDescent="0.25">
      <c r="A6" s="21"/>
      <c r="B6" s="42"/>
      <c r="C6" s="42"/>
      <c r="D6" s="43">
        <v>46128</v>
      </c>
      <c r="E6" s="44"/>
      <c r="F6" s="44"/>
      <c r="G6" s="146"/>
      <c r="H6" s="35"/>
      <c r="I6" s="36"/>
      <c r="J6" s="36"/>
      <c r="K6" s="35"/>
      <c r="L6" s="35"/>
      <c r="M6" s="45" t="str">
        <f ca="1">TEXT(M7,"mmmm")</f>
        <v>abril</v>
      </c>
      <c r="N6" s="45"/>
      <c r="O6" s="45"/>
      <c r="P6" s="45"/>
      <c r="Q6" s="45"/>
      <c r="R6" s="45"/>
      <c r="S6" s="45"/>
      <c r="T6" s="45" t="str">
        <f ca="1">IF(TEXT(T7,"mmmm")=M6,"",TEXT(T7,"mmmm"))</f>
        <v/>
      </c>
      <c r="U6" s="45"/>
      <c r="V6" s="45"/>
      <c r="W6" s="45"/>
      <c r="X6" s="45"/>
      <c r="Y6" s="45"/>
      <c r="Z6" s="45"/>
      <c r="AA6" s="45" t="str">
        <f ca="1">IF(OR(TEXT(AA7,"mmmm")=T6,TEXT(AA7,"mmmm")=M6),"",TEXT(AA7,"mmmm"))</f>
        <v>mayo</v>
      </c>
      <c r="AB6" s="45"/>
      <c r="AC6" s="45"/>
      <c r="AD6" s="45"/>
      <c r="AE6" s="45"/>
      <c r="AF6" s="45"/>
      <c r="AG6" s="45"/>
      <c r="AH6" s="45" t="str">
        <f ca="1">IF(OR(TEXT(AH7,"mmmm")=AA6,TEXT(AH7,"mmmm")=T6,TEXT(AH7,"mmmm")=M6),"",TEXT(AH7,"mmmm"))</f>
        <v/>
      </c>
      <c r="AI6" s="45"/>
      <c r="AJ6" s="45"/>
      <c r="AK6" s="45"/>
      <c r="AL6" s="45"/>
      <c r="AM6" s="45"/>
      <c r="AN6" s="45"/>
      <c r="AO6" s="45" t="str">
        <f ca="1">IF(OR(TEXT(AO7,"mmmm")=AH6,TEXT(AO7,"mmmm")=AA6,TEXT(AO7,"mmmm")=T6,TEXT(AO7,"mmmm")=M6),"",TEXT(AO7,"mmmm"))</f>
        <v/>
      </c>
      <c r="AP6" s="45"/>
      <c r="AQ6" s="45"/>
      <c r="AR6" s="45"/>
      <c r="AS6" s="45"/>
      <c r="AT6" s="45"/>
      <c r="AU6" s="45"/>
      <c r="AV6" s="45" t="str">
        <f ca="1">IF(OR(TEXT(AV7,"mmmm")=AO6,TEXT(AV7,"mmmm")=AH6,TEXT(AV7,"mmmm")=AA6,TEXT(AV7,"mmmm")=T6),"",TEXT(AV7,"mmmm"))</f>
        <v/>
      </c>
      <c r="AW6" s="46"/>
      <c r="AX6" s="46"/>
      <c r="AY6" s="46"/>
      <c r="AZ6" s="46"/>
      <c r="BA6" s="46"/>
      <c r="BB6" s="47"/>
      <c r="BC6" s="47" t="str">
        <f ca="1">IF(OR(TEXT(BC7,"mmmm")=AV6,TEXT(BC7,"mmmm")=AO6,TEXT(BC7,"mmmm")=AH6,TEXT(BC7,"mmmm")=AA6),"",TEXT(BC7,"mmmm"))</f>
        <v>junio</v>
      </c>
      <c r="BD6" s="47"/>
      <c r="BE6" s="47"/>
      <c r="BF6" s="48"/>
      <c r="BG6" s="49"/>
      <c r="BH6" s="49"/>
      <c r="BI6" s="49"/>
      <c r="BJ6" s="49" t="str">
        <f ca="1">IF(OR(TEXT(BJ7,"mmmm")=BC6,TEXT(BJ7,"mmmm")=AV6,TEXT(BJ7,"mmmm")=AO6,TEXT(BJ7,"mmmm")=AH6),"",TEXT(BJ7,"mmmm"))</f>
        <v/>
      </c>
      <c r="BK6" s="49"/>
      <c r="BL6" s="49"/>
      <c r="BM6" s="49"/>
      <c r="BN6" s="49"/>
      <c r="BO6" s="49"/>
      <c r="BP6" s="49"/>
    </row>
    <row r="7" spans="1:72" ht="45" customHeight="1" x14ac:dyDescent="0.2">
      <c r="A7" s="21"/>
      <c r="B7" s="42"/>
      <c r="C7" s="42"/>
      <c r="D7" s="50">
        <v>5</v>
      </c>
      <c r="E7" s="33"/>
      <c r="F7" s="33"/>
      <c r="G7" s="147"/>
      <c r="H7" s="35"/>
      <c r="I7" s="35"/>
      <c r="J7" s="35"/>
      <c r="K7" s="35"/>
      <c r="L7" s="51"/>
      <c r="M7" s="52">
        <f ca="1">IFERROR(Inicio_del_proyecto+Incremento_de_desplazamiento,TODAY())</f>
        <v>46133</v>
      </c>
      <c r="N7" s="53">
        <f ca="1">M7+1</f>
        <v>46134</v>
      </c>
      <c r="O7" s="53">
        <f t="shared" ref="O7:BB7" ca="1" si="0">N7+1</f>
        <v>46135</v>
      </c>
      <c r="P7" s="53">
        <f t="shared" ca="1" si="0"/>
        <v>46136</v>
      </c>
      <c r="Q7" s="53">
        <f t="shared" ca="1" si="0"/>
        <v>46137</v>
      </c>
      <c r="R7" s="53">
        <f t="shared" ca="1" si="0"/>
        <v>46138</v>
      </c>
      <c r="S7" s="54">
        <f t="shared" ca="1" si="0"/>
        <v>46139</v>
      </c>
      <c r="T7" s="53">
        <f ca="1">S7+1</f>
        <v>46140</v>
      </c>
      <c r="U7" s="53">
        <f ca="1">T7+1</f>
        <v>46141</v>
      </c>
      <c r="V7" s="53">
        <f t="shared" ca="1" si="0"/>
        <v>46142</v>
      </c>
      <c r="W7" s="53">
        <f t="shared" ca="1" si="0"/>
        <v>46143</v>
      </c>
      <c r="X7" s="53">
        <f t="shared" ca="1" si="0"/>
        <v>46144</v>
      </c>
      <c r="Y7" s="53">
        <f t="shared" ca="1" si="0"/>
        <v>46145</v>
      </c>
      <c r="Z7" s="54">
        <f t="shared" ca="1" si="0"/>
        <v>46146</v>
      </c>
      <c r="AA7" s="53">
        <f ca="1">Z7+1</f>
        <v>46147</v>
      </c>
      <c r="AB7" s="53">
        <f ca="1">AA7+1</f>
        <v>46148</v>
      </c>
      <c r="AC7" s="53">
        <f t="shared" ca="1" si="0"/>
        <v>46149</v>
      </c>
      <c r="AD7" s="53">
        <f t="shared" ca="1" si="0"/>
        <v>46150</v>
      </c>
      <c r="AE7" s="53">
        <f t="shared" ca="1" si="0"/>
        <v>46151</v>
      </c>
      <c r="AF7" s="53">
        <f t="shared" ca="1" si="0"/>
        <v>46152</v>
      </c>
      <c r="AG7" s="54">
        <f t="shared" ca="1" si="0"/>
        <v>46153</v>
      </c>
      <c r="AH7" s="53">
        <f ca="1">AG7+1</f>
        <v>46154</v>
      </c>
      <c r="AI7" s="53">
        <f ca="1">AH7+1</f>
        <v>46155</v>
      </c>
      <c r="AJ7" s="53">
        <f t="shared" ca="1" si="0"/>
        <v>46156</v>
      </c>
      <c r="AK7" s="53">
        <f t="shared" ca="1" si="0"/>
        <v>46157</v>
      </c>
      <c r="AL7" s="53">
        <f t="shared" ca="1" si="0"/>
        <v>46158</v>
      </c>
      <c r="AM7" s="53">
        <f t="shared" ca="1" si="0"/>
        <v>46159</v>
      </c>
      <c r="AN7" s="54">
        <f t="shared" ca="1" si="0"/>
        <v>46160</v>
      </c>
      <c r="AO7" s="53">
        <f ca="1">AN7+1</f>
        <v>46161</v>
      </c>
      <c r="AP7" s="53">
        <f ca="1">AO7+1</f>
        <v>46162</v>
      </c>
      <c r="AQ7" s="53">
        <f t="shared" ca="1" si="0"/>
        <v>46163</v>
      </c>
      <c r="AR7" s="53">
        <f t="shared" ca="1" si="0"/>
        <v>46164</v>
      </c>
      <c r="AS7" s="53">
        <f t="shared" ca="1" si="0"/>
        <v>46165</v>
      </c>
      <c r="AT7" s="53">
        <f t="shared" ca="1" si="0"/>
        <v>46166</v>
      </c>
      <c r="AU7" s="54">
        <f t="shared" ca="1" si="0"/>
        <v>46167</v>
      </c>
      <c r="AV7" s="53">
        <f ca="1">AU7+1</f>
        <v>46168</v>
      </c>
      <c r="AW7" s="55">
        <f ca="1">AV7+1</f>
        <v>46169</v>
      </c>
      <c r="AX7" s="55">
        <f t="shared" ca="1" si="0"/>
        <v>46170</v>
      </c>
      <c r="AY7" s="55">
        <f t="shared" ca="1" si="0"/>
        <v>46171</v>
      </c>
      <c r="AZ7" s="55">
        <f t="shared" ca="1" si="0"/>
        <v>46172</v>
      </c>
      <c r="BA7" s="55">
        <f t="shared" ca="1" si="0"/>
        <v>46173</v>
      </c>
      <c r="BB7" s="56">
        <f t="shared" ca="1" si="0"/>
        <v>46174</v>
      </c>
      <c r="BC7" s="55">
        <f ca="1">BB7+1</f>
        <v>46175</v>
      </c>
      <c r="BD7" s="55">
        <f ca="1">BC7+1</f>
        <v>46176</v>
      </c>
      <c r="BE7" s="55">
        <f t="shared" ref="BE7:BI7" ca="1" si="1">BD7+1</f>
        <v>46177</v>
      </c>
      <c r="BF7" s="55">
        <f t="shared" ca="1" si="1"/>
        <v>46178</v>
      </c>
      <c r="BG7" s="55">
        <f t="shared" ca="1" si="1"/>
        <v>46179</v>
      </c>
      <c r="BH7" s="55">
        <f t="shared" ca="1" si="1"/>
        <v>46180</v>
      </c>
      <c r="BI7" s="56">
        <f t="shared" ca="1" si="1"/>
        <v>46181</v>
      </c>
      <c r="BJ7" s="55">
        <f ca="1">BI7+1</f>
        <v>46182</v>
      </c>
      <c r="BK7" s="55">
        <f ca="1">BJ7+1</f>
        <v>46183</v>
      </c>
      <c r="BL7" s="55">
        <f t="shared" ref="BL7:BP7" ca="1" si="2">BK7+1</f>
        <v>46184</v>
      </c>
      <c r="BM7" s="55">
        <f t="shared" ca="1" si="2"/>
        <v>46185</v>
      </c>
      <c r="BN7" s="55">
        <f t="shared" ca="1" si="2"/>
        <v>46186</v>
      </c>
      <c r="BO7" s="55">
        <f t="shared" ca="1" si="2"/>
        <v>46187</v>
      </c>
      <c r="BP7" s="56">
        <f t="shared" ca="1" si="2"/>
        <v>46188</v>
      </c>
    </row>
    <row r="8" spans="1:72" ht="20" customHeight="1" x14ac:dyDescent="0.2">
      <c r="A8" s="21"/>
      <c r="B8" s="57"/>
      <c r="C8" s="57"/>
      <c r="D8" s="57"/>
      <c r="E8" s="57"/>
      <c r="F8" s="57"/>
      <c r="G8" s="58"/>
      <c r="H8" s="35"/>
      <c r="I8" s="35"/>
      <c r="J8" s="35"/>
      <c r="K8" s="35"/>
      <c r="L8" s="51"/>
      <c r="M8" s="59"/>
      <c r="N8" s="60"/>
      <c r="O8" s="60"/>
      <c r="P8" s="60"/>
      <c r="Q8" s="60"/>
      <c r="R8" s="60"/>
      <c r="S8" s="60"/>
      <c r="T8" s="59"/>
      <c r="U8" s="60"/>
      <c r="V8" s="60"/>
      <c r="W8" s="60"/>
      <c r="X8" s="60"/>
      <c r="Y8" s="60"/>
      <c r="Z8" s="61"/>
      <c r="AA8" s="60"/>
      <c r="AB8" s="60"/>
      <c r="AC8" s="60"/>
      <c r="AD8" s="60"/>
      <c r="AE8" s="60"/>
      <c r="AF8" s="60"/>
      <c r="AG8" s="61"/>
      <c r="AH8" s="60"/>
      <c r="AI8" s="60"/>
      <c r="AJ8" s="60"/>
      <c r="AK8" s="60"/>
      <c r="AL8" s="60"/>
      <c r="AM8" s="60"/>
      <c r="AN8" s="61"/>
      <c r="AO8" s="60"/>
      <c r="AP8" s="60"/>
      <c r="AQ8" s="60"/>
      <c r="AR8" s="60"/>
      <c r="AS8" s="60"/>
      <c r="AT8" s="60"/>
      <c r="AU8" s="61"/>
      <c r="AV8" s="60"/>
      <c r="AW8" s="62"/>
      <c r="AX8" s="62"/>
      <c r="AY8" s="62"/>
      <c r="AZ8" s="62"/>
      <c r="BA8" s="62"/>
      <c r="BB8" s="63"/>
      <c r="BC8" s="62"/>
      <c r="BD8" s="62"/>
      <c r="BE8" s="62"/>
      <c r="BF8" s="62"/>
      <c r="BG8" s="62"/>
      <c r="BH8" s="62"/>
      <c r="BI8" s="63"/>
      <c r="BJ8" s="62"/>
      <c r="BK8" s="62"/>
      <c r="BL8" s="62"/>
      <c r="BM8" s="62"/>
      <c r="BN8" s="62"/>
      <c r="BO8" s="62"/>
      <c r="BP8" s="64"/>
    </row>
    <row r="9" spans="1:72" ht="20" customHeight="1" x14ac:dyDescent="0.2">
      <c r="A9" s="21"/>
      <c r="B9" s="57"/>
      <c r="C9" s="57"/>
      <c r="D9" s="57"/>
      <c r="E9" s="57"/>
      <c r="F9" s="57"/>
      <c r="G9" s="58"/>
      <c r="H9" s="35"/>
      <c r="I9" s="35"/>
      <c r="J9" s="35"/>
      <c r="K9" s="35"/>
      <c r="L9" s="51"/>
      <c r="M9" s="65" t="s">
        <v>86</v>
      </c>
      <c r="N9" s="66"/>
      <c r="O9" s="66"/>
      <c r="P9" s="66"/>
      <c r="Q9" s="65"/>
      <c r="R9" s="67"/>
      <c r="S9" s="67"/>
      <c r="T9" s="68" t="s">
        <v>87</v>
      </c>
      <c r="U9" s="69"/>
      <c r="V9" s="70"/>
      <c r="W9" s="70"/>
      <c r="X9" s="71"/>
      <c r="Y9" s="60"/>
      <c r="Z9" s="60"/>
      <c r="AA9" s="68" t="s">
        <v>88</v>
      </c>
      <c r="AB9" s="70"/>
      <c r="AC9" s="70"/>
      <c r="AD9" s="70"/>
      <c r="AE9" s="71"/>
      <c r="AF9" s="67"/>
      <c r="AG9" s="67"/>
      <c r="AH9" s="68" t="s">
        <v>89</v>
      </c>
      <c r="AI9" s="69"/>
      <c r="AJ9" s="70"/>
      <c r="AK9" s="70"/>
      <c r="AL9" s="71"/>
      <c r="AM9" s="67"/>
      <c r="AN9" s="67"/>
      <c r="AO9" s="68" t="s">
        <v>90</v>
      </c>
      <c r="AP9" s="69"/>
      <c r="AQ9" s="70"/>
      <c r="AR9" s="70"/>
      <c r="AS9" s="71"/>
      <c r="AT9" s="62"/>
      <c r="AU9" s="62"/>
      <c r="AV9" s="62"/>
      <c r="AW9" s="62"/>
      <c r="AX9" s="62"/>
      <c r="AY9" s="62"/>
      <c r="AZ9" s="62"/>
      <c r="BA9" s="62"/>
      <c r="BB9" s="63"/>
      <c r="BC9" s="62"/>
      <c r="BD9" s="62"/>
      <c r="BE9" s="62"/>
      <c r="BF9" s="62"/>
      <c r="BG9" s="62"/>
      <c r="BH9" s="62"/>
      <c r="BI9" s="63"/>
      <c r="BJ9" s="62"/>
      <c r="BK9" s="62"/>
      <c r="BL9" s="62"/>
      <c r="BM9" s="62"/>
      <c r="BN9" s="62"/>
      <c r="BO9" s="62"/>
      <c r="BP9" s="64"/>
    </row>
    <row r="10" spans="1:72" ht="40.25" customHeight="1" x14ac:dyDescent="0.2">
      <c r="A10" s="21"/>
      <c r="B10" s="72" t="s">
        <v>150</v>
      </c>
      <c r="C10" s="72" t="s">
        <v>106</v>
      </c>
      <c r="D10" s="73" t="s">
        <v>107</v>
      </c>
      <c r="E10" s="73" t="s">
        <v>109</v>
      </c>
      <c r="F10" s="73" t="s">
        <v>131</v>
      </c>
      <c r="G10" s="73" t="s">
        <v>105</v>
      </c>
      <c r="H10" s="73" t="s">
        <v>91</v>
      </c>
      <c r="I10" s="73" t="s">
        <v>104</v>
      </c>
      <c r="J10" s="73" t="s">
        <v>98</v>
      </c>
      <c r="K10" s="73" t="s">
        <v>92</v>
      </c>
      <c r="L10" s="74"/>
      <c r="M10" s="75" t="str">
        <f t="shared" ref="M10:BP10" ca="1" si="3">LEFT(TEXT(M7,"ddd"),1)</f>
        <v>m</v>
      </c>
      <c r="N10" s="75" t="str">
        <f t="shared" ca="1" si="3"/>
        <v>m</v>
      </c>
      <c r="O10" s="75" t="str">
        <f t="shared" ca="1" si="3"/>
        <v>j</v>
      </c>
      <c r="P10" s="75" t="str">
        <f t="shared" ca="1" si="3"/>
        <v>v</v>
      </c>
      <c r="Q10" s="75" t="str">
        <f t="shared" ca="1" si="3"/>
        <v>s</v>
      </c>
      <c r="R10" s="75" t="str">
        <f t="shared" ca="1" si="3"/>
        <v>d</v>
      </c>
      <c r="S10" s="76" t="str">
        <f t="shared" ca="1" si="3"/>
        <v>l</v>
      </c>
      <c r="T10" s="77" t="str">
        <f t="shared" ca="1" si="3"/>
        <v>m</v>
      </c>
      <c r="U10" s="75" t="str">
        <f t="shared" ca="1" si="3"/>
        <v>m</v>
      </c>
      <c r="V10" s="75" t="str">
        <f t="shared" ca="1" si="3"/>
        <v>j</v>
      </c>
      <c r="W10" s="75" t="str">
        <f t="shared" ca="1" si="3"/>
        <v>v</v>
      </c>
      <c r="X10" s="78" t="str">
        <f t="shared" ca="1" si="3"/>
        <v>s</v>
      </c>
      <c r="Y10" s="79" t="str">
        <f t="shared" ca="1" si="3"/>
        <v>d</v>
      </c>
      <c r="Z10" s="76" t="str">
        <f t="shared" ca="1" si="3"/>
        <v>l</v>
      </c>
      <c r="AA10" s="77" t="str">
        <f t="shared" ca="1" si="3"/>
        <v>m</v>
      </c>
      <c r="AB10" s="75" t="str">
        <f t="shared" ca="1" si="3"/>
        <v>m</v>
      </c>
      <c r="AC10" s="75" t="str">
        <f t="shared" ca="1" si="3"/>
        <v>j</v>
      </c>
      <c r="AD10" s="75" t="str">
        <f t="shared" ca="1" si="3"/>
        <v>v</v>
      </c>
      <c r="AE10" s="78" t="str">
        <f t="shared" ca="1" si="3"/>
        <v>s</v>
      </c>
      <c r="AF10" s="79" t="str">
        <f t="shared" ca="1" si="3"/>
        <v>d</v>
      </c>
      <c r="AG10" s="76" t="str">
        <f t="shared" ca="1" si="3"/>
        <v>l</v>
      </c>
      <c r="AH10" s="77" t="str">
        <f t="shared" ca="1" si="3"/>
        <v>m</v>
      </c>
      <c r="AI10" s="75" t="str">
        <f t="shared" ca="1" si="3"/>
        <v>m</v>
      </c>
      <c r="AJ10" s="75" t="str">
        <f t="shared" ca="1" si="3"/>
        <v>j</v>
      </c>
      <c r="AK10" s="75" t="str">
        <f t="shared" ca="1" si="3"/>
        <v>v</v>
      </c>
      <c r="AL10" s="78" t="str">
        <f t="shared" ca="1" si="3"/>
        <v>s</v>
      </c>
      <c r="AM10" s="79" t="str">
        <f t="shared" ca="1" si="3"/>
        <v>d</v>
      </c>
      <c r="AN10" s="76" t="str">
        <f t="shared" ca="1" si="3"/>
        <v>l</v>
      </c>
      <c r="AO10" s="77" t="str">
        <f t="shared" ca="1" si="3"/>
        <v>m</v>
      </c>
      <c r="AP10" s="75" t="str">
        <f t="shared" ca="1" si="3"/>
        <v>m</v>
      </c>
      <c r="AQ10" s="75" t="str">
        <f t="shared" ca="1" si="3"/>
        <v>j</v>
      </c>
      <c r="AR10" s="75" t="str">
        <f t="shared" ca="1" si="3"/>
        <v>v</v>
      </c>
      <c r="AS10" s="78" t="str">
        <f t="shared" ca="1" si="3"/>
        <v>s</v>
      </c>
      <c r="AT10" s="79" t="str">
        <f t="shared" ca="1" si="3"/>
        <v>d</v>
      </c>
      <c r="AU10" s="75" t="str">
        <f t="shared" ca="1" si="3"/>
        <v>l</v>
      </c>
      <c r="AV10" s="75" t="str">
        <f t="shared" ca="1" si="3"/>
        <v>m</v>
      </c>
      <c r="AW10" s="80" t="str">
        <f t="shared" ca="1" si="3"/>
        <v>m</v>
      </c>
      <c r="AX10" s="80" t="str">
        <f t="shared" ca="1" si="3"/>
        <v>j</v>
      </c>
      <c r="AY10" s="80" t="str">
        <f t="shared" ca="1" si="3"/>
        <v>v</v>
      </c>
      <c r="AZ10" s="80" t="str">
        <f t="shared" ca="1" si="3"/>
        <v>s</v>
      </c>
      <c r="BA10" s="80" t="str">
        <f t="shared" ca="1" si="3"/>
        <v>d</v>
      </c>
      <c r="BB10" s="80" t="str">
        <f t="shared" ca="1" si="3"/>
        <v>l</v>
      </c>
      <c r="BC10" s="80" t="str">
        <f t="shared" ca="1" si="3"/>
        <v>m</v>
      </c>
      <c r="BD10" s="80" t="str">
        <f t="shared" ca="1" si="3"/>
        <v>m</v>
      </c>
      <c r="BE10" s="80" t="str">
        <f t="shared" ca="1" si="3"/>
        <v>j</v>
      </c>
      <c r="BF10" s="80" t="str">
        <f t="shared" ca="1" si="3"/>
        <v>v</v>
      </c>
      <c r="BG10" s="80" t="str">
        <f t="shared" ca="1" si="3"/>
        <v>s</v>
      </c>
      <c r="BH10" s="80" t="str">
        <f t="shared" ca="1" si="3"/>
        <v>d</v>
      </c>
      <c r="BI10" s="80" t="str">
        <f t="shared" ca="1" si="3"/>
        <v>l</v>
      </c>
      <c r="BJ10" s="80" t="str">
        <f t="shared" ca="1" si="3"/>
        <v>m</v>
      </c>
      <c r="BK10" s="80" t="str">
        <f t="shared" ca="1" si="3"/>
        <v>m</v>
      </c>
      <c r="BL10" s="80" t="str">
        <f t="shared" ca="1" si="3"/>
        <v>j</v>
      </c>
      <c r="BM10" s="80" t="str">
        <f t="shared" ca="1" si="3"/>
        <v>v</v>
      </c>
      <c r="BN10" s="80" t="str">
        <f t="shared" ca="1" si="3"/>
        <v>s</v>
      </c>
      <c r="BO10" s="80" t="str">
        <f t="shared" ca="1" si="3"/>
        <v>d</v>
      </c>
      <c r="BP10" s="80" t="str">
        <f t="shared" ca="1" si="3"/>
        <v>l</v>
      </c>
    </row>
    <row r="11" spans="1:72" s="93" customFormat="1" ht="66" customHeight="1" collapsed="1" x14ac:dyDescent="0.2">
      <c r="A11" s="81"/>
      <c r="B11" s="82" t="s">
        <v>151</v>
      </c>
      <c r="C11" s="82" t="s">
        <v>43</v>
      </c>
      <c r="D11" s="83" t="s">
        <v>78</v>
      </c>
      <c r="E11" s="83" t="s">
        <v>110</v>
      </c>
      <c r="F11" s="83" t="s">
        <v>132</v>
      </c>
      <c r="G11" s="83"/>
      <c r="H11" s="144">
        <f>COUNTIF(H12:H17,TRUE)/(COUNTIF(H12:H17,TRUE)+COUNTIF(H12:H17,FALSE))</f>
        <v>0</v>
      </c>
      <c r="I11" s="84">
        <f>I12</f>
        <v>46128</v>
      </c>
      <c r="J11" s="84"/>
      <c r="K11" s="85">
        <f>SUM(K12:K17)</f>
        <v>8</v>
      </c>
      <c r="L11" s="86"/>
      <c r="M11" s="87" t="str">
        <f t="shared" ref="M11:V16" ca="1" si="4">IF(AND($D11="Objetivo",M$7&gt;=$I11,M$7&lt;=$I11+$K11-1),2,IF(AND($D11="Hito",M$7&gt;=$I11,M$7&lt;=$I11+$K11-1),1,""))</f>
        <v/>
      </c>
      <c r="N11" s="87" t="str">
        <f t="shared" ca="1" si="4"/>
        <v/>
      </c>
      <c r="O11" s="87" t="str">
        <f t="shared" ca="1" si="4"/>
        <v/>
      </c>
      <c r="P11" s="87" t="str">
        <f t="shared" ca="1" si="4"/>
        <v/>
      </c>
      <c r="Q11" s="87" t="str">
        <f t="shared" ca="1" si="4"/>
        <v/>
      </c>
      <c r="R11" s="87" t="str">
        <f t="shared" ca="1" si="4"/>
        <v/>
      </c>
      <c r="S11" s="88" t="str">
        <f t="shared" ca="1" si="4"/>
        <v/>
      </c>
      <c r="T11" s="89" t="str">
        <f t="shared" ca="1" si="4"/>
        <v/>
      </c>
      <c r="U11" s="87" t="str">
        <f t="shared" ca="1" si="4"/>
        <v/>
      </c>
      <c r="V11" s="87" t="str">
        <f t="shared" ca="1" si="4"/>
        <v/>
      </c>
      <c r="W11" s="87" t="str">
        <f t="shared" ref="W11:AF16" ca="1" si="5">IF(AND($D11="Objetivo",W$7&gt;=$I11,W$7&lt;=$I11+$K11-1),2,IF(AND($D11="Hito",W$7&gt;=$I11,W$7&lt;=$I11+$K11-1),1,""))</f>
        <v/>
      </c>
      <c r="X11" s="90" t="str">
        <f t="shared" ca="1" si="5"/>
        <v/>
      </c>
      <c r="Y11" s="91" t="str">
        <f t="shared" ca="1" si="5"/>
        <v/>
      </c>
      <c r="Z11" s="88" t="str">
        <f t="shared" ca="1" si="5"/>
        <v/>
      </c>
      <c r="AA11" s="89" t="str">
        <f t="shared" ca="1" si="5"/>
        <v/>
      </c>
      <c r="AB11" s="87" t="str">
        <f t="shared" ca="1" si="5"/>
        <v/>
      </c>
      <c r="AC11" s="87" t="str">
        <f t="shared" ca="1" si="5"/>
        <v/>
      </c>
      <c r="AD11" s="87" t="str">
        <f t="shared" ca="1" si="5"/>
        <v/>
      </c>
      <c r="AE11" s="90" t="str">
        <f t="shared" ca="1" si="5"/>
        <v/>
      </c>
      <c r="AF11" s="91" t="str">
        <f t="shared" ca="1" si="5"/>
        <v/>
      </c>
      <c r="AG11" s="88" t="str">
        <f t="shared" ref="AG11:AP16" ca="1" si="6">IF(AND($D11="Objetivo",AG$7&gt;=$I11,AG$7&lt;=$I11+$K11-1),2,IF(AND($D11="Hito",AG$7&gt;=$I11,AG$7&lt;=$I11+$K11-1),1,""))</f>
        <v/>
      </c>
      <c r="AH11" s="89" t="str">
        <f t="shared" ca="1" si="6"/>
        <v/>
      </c>
      <c r="AI11" s="87" t="str">
        <f t="shared" ca="1" si="6"/>
        <v/>
      </c>
      <c r="AJ11" s="87" t="str">
        <f t="shared" ca="1" si="6"/>
        <v/>
      </c>
      <c r="AK11" s="87" t="str">
        <f t="shared" ca="1" si="6"/>
        <v/>
      </c>
      <c r="AL11" s="90" t="str">
        <f t="shared" ca="1" si="6"/>
        <v/>
      </c>
      <c r="AM11" s="91" t="str">
        <f t="shared" ca="1" si="6"/>
        <v/>
      </c>
      <c r="AN11" s="88" t="str">
        <f t="shared" ca="1" si="6"/>
        <v/>
      </c>
      <c r="AO11" s="89" t="str">
        <f t="shared" ca="1" si="6"/>
        <v/>
      </c>
      <c r="AP11" s="87" t="str">
        <f t="shared" ca="1" si="6"/>
        <v/>
      </c>
      <c r="AQ11" s="87" t="str">
        <f t="shared" ref="AQ11:AZ16" ca="1" si="7">IF(AND($D11="Objetivo",AQ$7&gt;=$I11,AQ$7&lt;=$I11+$K11-1),2,IF(AND($D11="Hito",AQ$7&gt;=$I11,AQ$7&lt;=$I11+$K11-1),1,""))</f>
        <v/>
      </c>
      <c r="AR11" s="87" t="str">
        <f t="shared" ca="1" si="7"/>
        <v/>
      </c>
      <c r="AS11" s="90" t="str">
        <f t="shared" ca="1" si="7"/>
        <v/>
      </c>
      <c r="AT11" s="91" t="str">
        <f t="shared" ca="1" si="7"/>
        <v/>
      </c>
      <c r="AU11" s="87" t="str">
        <f t="shared" ca="1" si="7"/>
        <v/>
      </c>
      <c r="AV11" s="87" t="str">
        <f t="shared" ca="1" si="7"/>
        <v/>
      </c>
      <c r="AW11" s="92" t="str">
        <f t="shared" ca="1" si="7"/>
        <v/>
      </c>
      <c r="AX11" s="92" t="str">
        <f t="shared" ca="1" si="7"/>
        <v/>
      </c>
      <c r="AY11" s="92" t="str">
        <f t="shared" ca="1" si="7"/>
        <v/>
      </c>
      <c r="AZ11" s="92" t="str">
        <f t="shared" ca="1" si="7"/>
        <v/>
      </c>
      <c r="BA11" s="92" t="str">
        <f t="shared" ref="BA11:BJ16" ca="1" si="8">IF(AND($D11="Objetivo",BA$7&gt;=$I11,BA$7&lt;=$I11+$K11-1),2,IF(AND($D11="Hito",BA$7&gt;=$I11,BA$7&lt;=$I11+$K11-1),1,""))</f>
        <v/>
      </c>
      <c r="BB11" s="92" t="str">
        <f t="shared" ca="1" si="8"/>
        <v/>
      </c>
      <c r="BC11" s="92" t="str">
        <f t="shared" ca="1" si="8"/>
        <v/>
      </c>
      <c r="BD11" s="92" t="str">
        <f t="shared" ca="1" si="8"/>
        <v/>
      </c>
      <c r="BE11" s="92" t="str">
        <f t="shared" ca="1" si="8"/>
        <v/>
      </c>
      <c r="BF11" s="92" t="str">
        <f t="shared" ca="1" si="8"/>
        <v/>
      </c>
      <c r="BG11" s="92" t="str">
        <f t="shared" ca="1" si="8"/>
        <v/>
      </c>
      <c r="BH11" s="92" t="str">
        <f t="shared" ca="1" si="8"/>
        <v/>
      </c>
      <c r="BI11" s="92" t="str">
        <f t="shared" ca="1" si="8"/>
        <v/>
      </c>
      <c r="BJ11" s="92" t="str">
        <f t="shared" ca="1" si="8"/>
        <v/>
      </c>
      <c r="BK11" s="92" t="str">
        <f t="shared" ref="BK11:BP16" ca="1" si="9">IF(AND($D11="Objetivo",BK$7&gt;=$I11,BK$7&lt;=$I11+$K11-1),2,IF(AND($D11="Hito",BK$7&gt;=$I11,BK$7&lt;=$I11+$K11-1),1,""))</f>
        <v/>
      </c>
      <c r="BL11" s="92" t="str">
        <f t="shared" ca="1" si="9"/>
        <v/>
      </c>
      <c r="BM11" s="92" t="str">
        <f t="shared" ca="1" si="9"/>
        <v/>
      </c>
      <c r="BN11" s="92" t="str">
        <f t="shared" ca="1" si="9"/>
        <v/>
      </c>
      <c r="BO11" s="92" t="str">
        <f t="shared" ca="1" si="9"/>
        <v/>
      </c>
      <c r="BP11" s="92" t="str">
        <f t="shared" ca="1" si="9"/>
        <v/>
      </c>
      <c r="BT11" s="94"/>
    </row>
    <row r="12" spans="1:72" s="104" customFormat="1" ht="66" hidden="1" customHeight="1" outlineLevel="1" x14ac:dyDescent="0.2">
      <c r="A12" s="21"/>
      <c r="B12" s="95" t="s">
        <v>133</v>
      </c>
      <c r="C12" s="82" t="s">
        <v>43</v>
      </c>
      <c r="D12" s="96" t="s">
        <v>78</v>
      </c>
      <c r="E12" s="96" t="s">
        <v>84</v>
      </c>
      <c r="F12" s="96" t="s">
        <v>144</v>
      </c>
      <c r="G12" s="96"/>
      <c r="H12" s="136" t="b">
        <v>0</v>
      </c>
      <c r="I12" s="84">
        <v>46128</v>
      </c>
      <c r="J12" s="84"/>
      <c r="K12" s="85">
        <v>1</v>
      </c>
      <c r="L12" s="97"/>
      <c r="M12" s="98" t="str">
        <f t="shared" ca="1" si="4"/>
        <v/>
      </c>
      <c r="N12" s="98" t="str">
        <f t="shared" ca="1" si="4"/>
        <v/>
      </c>
      <c r="O12" s="98" t="str">
        <f t="shared" ca="1" si="4"/>
        <v/>
      </c>
      <c r="P12" s="98" t="str">
        <f t="shared" ca="1" si="4"/>
        <v/>
      </c>
      <c r="Q12" s="98" t="str">
        <f t="shared" ca="1" si="4"/>
        <v/>
      </c>
      <c r="R12" s="98" t="str">
        <f t="shared" ca="1" si="4"/>
        <v/>
      </c>
      <c r="S12" s="99" t="str">
        <f t="shared" ca="1" si="4"/>
        <v/>
      </c>
      <c r="T12" s="100" t="str">
        <f t="shared" ca="1" si="4"/>
        <v/>
      </c>
      <c r="U12" s="98" t="str">
        <f t="shared" ca="1" si="4"/>
        <v/>
      </c>
      <c r="V12" s="98" t="str">
        <f t="shared" ca="1" si="4"/>
        <v/>
      </c>
      <c r="W12" s="98" t="str">
        <f t="shared" ca="1" si="5"/>
        <v/>
      </c>
      <c r="X12" s="101" t="str">
        <f t="shared" ca="1" si="5"/>
        <v/>
      </c>
      <c r="Y12" s="102" t="str">
        <f t="shared" ca="1" si="5"/>
        <v/>
      </c>
      <c r="Z12" s="99" t="str">
        <f t="shared" ca="1" si="5"/>
        <v/>
      </c>
      <c r="AA12" s="100" t="str">
        <f t="shared" ca="1" si="5"/>
        <v/>
      </c>
      <c r="AB12" s="98" t="str">
        <f t="shared" ca="1" si="5"/>
        <v/>
      </c>
      <c r="AC12" s="98" t="str">
        <f t="shared" ca="1" si="5"/>
        <v/>
      </c>
      <c r="AD12" s="98" t="str">
        <f t="shared" ca="1" si="5"/>
        <v/>
      </c>
      <c r="AE12" s="101" t="str">
        <f t="shared" ca="1" si="5"/>
        <v/>
      </c>
      <c r="AF12" s="102" t="str">
        <f t="shared" ca="1" si="5"/>
        <v/>
      </c>
      <c r="AG12" s="99" t="str">
        <f t="shared" ca="1" si="6"/>
        <v/>
      </c>
      <c r="AH12" s="100" t="str">
        <f t="shared" ca="1" si="6"/>
        <v/>
      </c>
      <c r="AI12" s="98" t="str">
        <f t="shared" ca="1" si="6"/>
        <v/>
      </c>
      <c r="AJ12" s="98" t="str">
        <f t="shared" ca="1" si="6"/>
        <v/>
      </c>
      <c r="AK12" s="98" t="str">
        <f t="shared" ca="1" si="6"/>
        <v/>
      </c>
      <c r="AL12" s="101" t="str">
        <f t="shared" ca="1" si="6"/>
        <v/>
      </c>
      <c r="AM12" s="102" t="str">
        <f t="shared" ca="1" si="6"/>
        <v/>
      </c>
      <c r="AN12" s="99" t="str">
        <f t="shared" ca="1" si="6"/>
        <v/>
      </c>
      <c r="AO12" s="100" t="str">
        <f t="shared" ca="1" si="6"/>
        <v/>
      </c>
      <c r="AP12" s="98" t="str">
        <f t="shared" ca="1" si="6"/>
        <v/>
      </c>
      <c r="AQ12" s="98" t="str">
        <f t="shared" ca="1" si="7"/>
        <v/>
      </c>
      <c r="AR12" s="98" t="str">
        <f t="shared" ca="1" si="7"/>
        <v/>
      </c>
      <c r="AS12" s="101" t="str">
        <f t="shared" ca="1" si="7"/>
        <v/>
      </c>
      <c r="AT12" s="102" t="str">
        <f t="shared" ca="1" si="7"/>
        <v/>
      </c>
      <c r="AU12" s="98" t="str">
        <f t="shared" ca="1" si="7"/>
        <v/>
      </c>
      <c r="AV12" s="98" t="str">
        <f t="shared" ca="1" si="7"/>
        <v/>
      </c>
      <c r="AW12" s="103" t="str">
        <f t="shared" ca="1" si="7"/>
        <v/>
      </c>
      <c r="AX12" s="103" t="str">
        <f t="shared" ca="1" si="7"/>
        <v/>
      </c>
      <c r="AY12" s="103" t="str">
        <f t="shared" ca="1" si="7"/>
        <v/>
      </c>
      <c r="AZ12" s="103" t="str">
        <f t="shared" ca="1" si="7"/>
        <v/>
      </c>
      <c r="BA12" s="103" t="str">
        <f t="shared" ca="1" si="8"/>
        <v/>
      </c>
      <c r="BB12" s="103" t="str">
        <f t="shared" ca="1" si="8"/>
        <v/>
      </c>
      <c r="BC12" s="103" t="str">
        <f t="shared" ca="1" si="8"/>
        <v/>
      </c>
      <c r="BD12" s="103" t="str">
        <f t="shared" ca="1" si="8"/>
        <v/>
      </c>
      <c r="BE12" s="103" t="str">
        <f t="shared" ca="1" si="8"/>
        <v/>
      </c>
      <c r="BF12" s="103" t="str">
        <f t="shared" ca="1" si="8"/>
        <v/>
      </c>
      <c r="BG12" s="103" t="str">
        <f t="shared" ca="1" si="8"/>
        <v/>
      </c>
      <c r="BH12" s="103" t="str">
        <f t="shared" ca="1" si="8"/>
        <v/>
      </c>
      <c r="BI12" s="103" t="str">
        <f t="shared" ca="1" si="8"/>
        <v/>
      </c>
      <c r="BJ12" s="103" t="str">
        <f t="shared" ca="1" si="8"/>
        <v/>
      </c>
      <c r="BK12" s="103" t="str">
        <f t="shared" ca="1" si="9"/>
        <v/>
      </c>
      <c r="BL12" s="103" t="str">
        <f t="shared" ca="1" si="9"/>
        <v/>
      </c>
      <c r="BM12" s="103" t="str">
        <f t="shared" ca="1" si="9"/>
        <v/>
      </c>
      <c r="BN12" s="103" t="str">
        <f t="shared" ca="1" si="9"/>
        <v/>
      </c>
      <c r="BO12" s="103" t="str">
        <f t="shared" ca="1" si="9"/>
        <v/>
      </c>
      <c r="BP12" s="103" t="str">
        <f t="shared" ca="1" si="9"/>
        <v/>
      </c>
    </row>
    <row r="13" spans="1:72" s="104" customFormat="1" ht="66" hidden="1" customHeight="1" outlineLevel="1" x14ac:dyDescent="0.2">
      <c r="A13" s="21"/>
      <c r="B13" s="95" t="s">
        <v>134</v>
      </c>
      <c r="C13" s="82" t="s">
        <v>43</v>
      </c>
      <c r="D13" s="96" t="s">
        <v>78</v>
      </c>
      <c r="E13" s="96"/>
      <c r="F13" s="96" t="s">
        <v>145</v>
      </c>
      <c r="G13" s="96"/>
      <c r="H13" s="136" t="b">
        <v>0</v>
      </c>
      <c r="I13" s="84">
        <v>46128</v>
      </c>
      <c r="J13" s="84"/>
      <c r="K13" s="85">
        <v>1</v>
      </c>
      <c r="L13" s="97"/>
      <c r="M13" s="98" t="str">
        <f t="shared" ca="1" si="4"/>
        <v/>
      </c>
      <c r="N13" s="98" t="str">
        <f t="shared" ca="1" si="4"/>
        <v/>
      </c>
      <c r="O13" s="98" t="str">
        <f t="shared" ca="1" si="4"/>
        <v/>
      </c>
      <c r="P13" s="98" t="str">
        <f t="shared" ca="1" si="4"/>
        <v/>
      </c>
      <c r="Q13" s="98" t="str">
        <f t="shared" ca="1" si="4"/>
        <v/>
      </c>
      <c r="R13" s="98" t="str">
        <f t="shared" ca="1" si="4"/>
        <v/>
      </c>
      <c r="S13" s="99" t="str">
        <f t="shared" ca="1" si="4"/>
        <v/>
      </c>
      <c r="T13" s="100" t="str">
        <f t="shared" ca="1" si="4"/>
        <v/>
      </c>
      <c r="U13" s="98" t="str">
        <f t="shared" ca="1" si="4"/>
        <v/>
      </c>
      <c r="V13" s="98" t="str">
        <f t="shared" ca="1" si="4"/>
        <v/>
      </c>
      <c r="W13" s="98" t="str">
        <f t="shared" ca="1" si="5"/>
        <v/>
      </c>
      <c r="X13" s="101" t="str">
        <f t="shared" ca="1" si="5"/>
        <v/>
      </c>
      <c r="Y13" s="102" t="str">
        <f t="shared" ca="1" si="5"/>
        <v/>
      </c>
      <c r="Z13" s="99" t="str">
        <f t="shared" ca="1" si="5"/>
        <v/>
      </c>
      <c r="AA13" s="100" t="str">
        <f t="shared" ca="1" si="5"/>
        <v/>
      </c>
      <c r="AB13" s="98" t="str">
        <f t="shared" ca="1" si="5"/>
        <v/>
      </c>
      <c r="AC13" s="98" t="str">
        <f t="shared" ca="1" si="5"/>
        <v/>
      </c>
      <c r="AD13" s="98" t="str">
        <f t="shared" ca="1" si="5"/>
        <v/>
      </c>
      <c r="AE13" s="101" t="str">
        <f t="shared" ca="1" si="5"/>
        <v/>
      </c>
      <c r="AF13" s="102" t="str">
        <f t="shared" ca="1" si="5"/>
        <v/>
      </c>
      <c r="AG13" s="99" t="str">
        <f t="shared" ca="1" si="6"/>
        <v/>
      </c>
      <c r="AH13" s="100" t="str">
        <f t="shared" ca="1" si="6"/>
        <v/>
      </c>
      <c r="AI13" s="98" t="str">
        <f t="shared" ca="1" si="6"/>
        <v/>
      </c>
      <c r="AJ13" s="98" t="str">
        <f t="shared" ca="1" si="6"/>
        <v/>
      </c>
      <c r="AK13" s="98" t="str">
        <f t="shared" ca="1" si="6"/>
        <v/>
      </c>
      <c r="AL13" s="101" t="str">
        <f t="shared" ca="1" si="6"/>
        <v/>
      </c>
      <c r="AM13" s="102" t="str">
        <f t="shared" ca="1" si="6"/>
        <v/>
      </c>
      <c r="AN13" s="99" t="str">
        <f t="shared" ca="1" si="6"/>
        <v/>
      </c>
      <c r="AO13" s="100" t="str">
        <f t="shared" ca="1" si="6"/>
        <v/>
      </c>
      <c r="AP13" s="98" t="str">
        <f t="shared" ca="1" si="6"/>
        <v/>
      </c>
      <c r="AQ13" s="98" t="str">
        <f t="shared" ca="1" si="7"/>
        <v/>
      </c>
      <c r="AR13" s="98" t="str">
        <f t="shared" ca="1" si="7"/>
        <v/>
      </c>
      <c r="AS13" s="101" t="str">
        <f t="shared" ca="1" si="7"/>
        <v/>
      </c>
      <c r="AT13" s="102" t="str">
        <f t="shared" ca="1" si="7"/>
        <v/>
      </c>
      <c r="AU13" s="98" t="str">
        <f t="shared" ca="1" si="7"/>
        <v/>
      </c>
      <c r="AV13" s="98" t="str">
        <f t="shared" ca="1" si="7"/>
        <v/>
      </c>
      <c r="AW13" s="103" t="str">
        <f t="shared" ca="1" si="7"/>
        <v/>
      </c>
      <c r="AX13" s="103" t="str">
        <f t="shared" ca="1" si="7"/>
        <v/>
      </c>
      <c r="AY13" s="103" t="str">
        <f t="shared" ca="1" si="7"/>
        <v/>
      </c>
      <c r="AZ13" s="103" t="str">
        <f t="shared" ca="1" si="7"/>
        <v/>
      </c>
      <c r="BA13" s="103" t="str">
        <f t="shared" ca="1" si="8"/>
        <v/>
      </c>
      <c r="BB13" s="103" t="str">
        <f t="shared" ca="1" si="8"/>
        <v/>
      </c>
      <c r="BC13" s="103" t="str">
        <f t="shared" ca="1" si="8"/>
        <v/>
      </c>
      <c r="BD13" s="103" t="str">
        <f t="shared" ca="1" si="8"/>
        <v/>
      </c>
      <c r="BE13" s="103" t="str">
        <f t="shared" ca="1" si="8"/>
        <v/>
      </c>
      <c r="BF13" s="103" t="str">
        <f t="shared" ca="1" si="8"/>
        <v/>
      </c>
      <c r="BG13" s="103" t="str">
        <f t="shared" ca="1" si="8"/>
        <v/>
      </c>
      <c r="BH13" s="103" t="str">
        <f t="shared" ca="1" si="8"/>
        <v/>
      </c>
      <c r="BI13" s="103" t="str">
        <f t="shared" ca="1" si="8"/>
        <v/>
      </c>
      <c r="BJ13" s="103" t="str">
        <f t="shared" ca="1" si="8"/>
        <v/>
      </c>
      <c r="BK13" s="103" t="str">
        <f t="shared" ca="1" si="9"/>
        <v/>
      </c>
      <c r="BL13" s="103" t="str">
        <f t="shared" ca="1" si="9"/>
        <v/>
      </c>
      <c r="BM13" s="103" t="str">
        <f t="shared" ca="1" si="9"/>
        <v/>
      </c>
      <c r="BN13" s="103" t="str">
        <f t="shared" ca="1" si="9"/>
        <v/>
      </c>
      <c r="BO13" s="103" t="str">
        <f t="shared" ca="1" si="9"/>
        <v/>
      </c>
      <c r="BP13" s="103" t="str">
        <f t="shared" ca="1" si="9"/>
        <v/>
      </c>
    </row>
    <row r="14" spans="1:72" s="104" customFormat="1" ht="66" hidden="1" customHeight="1" outlineLevel="1" x14ac:dyDescent="0.2">
      <c r="A14" s="18"/>
      <c r="B14" s="95" t="s">
        <v>135</v>
      </c>
      <c r="C14" s="82" t="s">
        <v>43</v>
      </c>
      <c r="D14" s="96" t="s">
        <v>78</v>
      </c>
      <c r="E14" s="96"/>
      <c r="F14" s="96" t="s">
        <v>145</v>
      </c>
      <c r="G14" s="96"/>
      <c r="H14" s="136" t="b">
        <v>0</v>
      </c>
      <c r="I14" s="84">
        <v>46129</v>
      </c>
      <c r="J14" s="84"/>
      <c r="K14" s="85">
        <v>1</v>
      </c>
      <c r="L14" s="97"/>
      <c r="M14" s="98" t="str">
        <f t="shared" ca="1" si="4"/>
        <v/>
      </c>
      <c r="N14" s="98" t="str">
        <f t="shared" ca="1" si="4"/>
        <v/>
      </c>
      <c r="O14" s="98" t="str">
        <f t="shared" ca="1" si="4"/>
        <v/>
      </c>
      <c r="P14" s="98" t="str">
        <f t="shared" ca="1" si="4"/>
        <v/>
      </c>
      <c r="Q14" s="98" t="str">
        <f t="shared" ca="1" si="4"/>
        <v/>
      </c>
      <c r="R14" s="98" t="str">
        <f t="shared" ca="1" si="4"/>
        <v/>
      </c>
      <c r="S14" s="99" t="str">
        <f t="shared" ca="1" si="4"/>
        <v/>
      </c>
      <c r="T14" s="100" t="str">
        <f t="shared" ca="1" si="4"/>
        <v/>
      </c>
      <c r="U14" s="98" t="str">
        <f t="shared" ca="1" si="4"/>
        <v/>
      </c>
      <c r="V14" s="98" t="str">
        <f t="shared" ca="1" si="4"/>
        <v/>
      </c>
      <c r="W14" s="98" t="str">
        <f t="shared" ca="1" si="5"/>
        <v/>
      </c>
      <c r="X14" s="101" t="str">
        <f t="shared" ca="1" si="5"/>
        <v/>
      </c>
      <c r="Y14" s="102" t="str">
        <f t="shared" ca="1" si="5"/>
        <v/>
      </c>
      <c r="Z14" s="99" t="str">
        <f t="shared" ca="1" si="5"/>
        <v/>
      </c>
      <c r="AA14" s="100" t="str">
        <f t="shared" ca="1" si="5"/>
        <v/>
      </c>
      <c r="AB14" s="98" t="str">
        <f t="shared" ca="1" si="5"/>
        <v/>
      </c>
      <c r="AC14" s="98" t="str">
        <f t="shared" ca="1" si="5"/>
        <v/>
      </c>
      <c r="AD14" s="98" t="str">
        <f t="shared" ca="1" si="5"/>
        <v/>
      </c>
      <c r="AE14" s="101" t="str">
        <f t="shared" ca="1" si="5"/>
        <v/>
      </c>
      <c r="AF14" s="102" t="str">
        <f t="shared" ca="1" si="5"/>
        <v/>
      </c>
      <c r="AG14" s="99" t="str">
        <f t="shared" ca="1" si="6"/>
        <v/>
      </c>
      <c r="AH14" s="100" t="str">
        <f t="shared" ca="1" si="6"/>
        <v/>
      </c>
      <c r="AI14" s="98" t="str">
        <f t="shared" ca="1" si="6"/>
        <v/>
      </c>
      <c r="AJ14" s="98" t="str">
        <f t="shared" ca="1" si="6"/>
        <v/>
      </c>
      <c r="AK14" s="98" t="str">
        <f t="shared" ca="1" si="6"/>
        <v/>
      </c>
      <c r="AL14" s="101" t="str">
        <f t="shared" ca="1" si="6"/>
        <v/>
      </c>
      <c r="AM14" s="102" t="str">
        <f t="shared" ca="1" si="6"/>
        <v/>
      </c>
      <c r="AN14" s="99" t="str">
        <f t="shared" ca="1" si="6"/>
        <v/>
      </c>
      <c r="AO14" s="100" t="str">
        <f t="shared" ca="1" si="6"/>
        <v/>
      </c>
      <c r="AP14" s="98" t="str">
        <f t="shared" ca="1" si="6"/>
        <v/>
      </c>
      <c r="AQ14" s="98" t="str">
        <f t="shared" ca="1" si="7"/>
        <v/>
      </c>
      <c r="AR14" s="98" t="str">
        <f t="shared" ca="1" si="7"/>
        <v/>
      </c>
      <c r="AS14" s="101" t="str">
        <f t="shared" ca="1" si="7"/>
        <v/>
      </c>
      <c r="AT14" s="102" t="str">
        <f t="shared" ca="1" si="7"/>
        <v/>
      </c>
      <c r="AU14" s="98" t="str">
        <f t="shared" ca="1" si="7"/>
        <v/>
      </c>
      <c r="AV14" s="98" t="str">
        <f t="shared" ca="1" si="7"/>
        <v/>
      </c>
      <c r="AW14" s="103" t="str">
        <f t="shared" ca="1" si="7"/>
        <v/>
      </c>
      <c r="AX14" s="103" t="str">
        <f t="shared" ca="1" si="7"/>
        <v/>
      </c>
      <c r="AY14" s="103" t="str">
        <f t="shared" ca="1" si="7"/>
        <v/>
      </c>
      <c r="AZ14" s="103" t="str">
        <f t="shared" ca="1" si="7"/>
        <v/>
      </c>
      <c r="BA14" s="103" t="str">
        <f t="shared" ca="1" si="8"/>
        <v/>
      </c>
      <c r="BB14" s="103" t="str">
        <f t="shared" ca="1" si="8"/>
        <v/>
      </c>
      <c r="BC14" s="103" t="str">
        <f t="shared" ca="1" si="8"/>
        <v/>
      </c>
      <c r="BD14" s="103" t="str">
        <f t="shared" ca="1" si="8"/>
        <v/>
      </c>
      <c r="BE14" s="103" t="str">
        <f t="shared" ca="1" si="8"/>
        <v/>
      </c>
      <c r="BF14" s="103" t="str">
        <f t="shared" ca="1" si="8"/>
        <v/>
      </c>
      <c r="BG14" s="103" t="str">
        <f t="shared" ca="1" si="8"/>
        <v/>
      </c>
      <c r="BH14" s="103" t="str">
        <f t="shared" ca="1" si="8"/>
        <v/>
      </c>
      <c r="BI14" s="103" t="str">
        <f t="shared" ca="1" si="8"/>
        <v/>
      </c>
      <c r="BJ14" s="103" t="str">
        <f t="shared" ca="1" si="8"/>
        <v/>
      </c>
      <c r="BK14" s="103" t="str">
        <f t="shared" ca="1" si="9"/>
        <v/>
      </c>
      <c r="BL14" s="103" t="str">
        <f t="shared" ca="1" si="9"/>
        <v/>
      </c>
      <c r="BM14" s="103" t="str">
        <f t="shared" ca="1" si="9"/>
        <v/>
      </c>
      <c r="BN14" s="103" t="str">
        <f t="shared" ca="1" si="9"/>
        <v/>
      </c>
      <c r="BO14" s="103" t="str">
        <f t="shared" ca="1" si="9"/>
        <v/>
      </c>
      <c r="BP14" s="103" t="str">
        <f t="shared" ca="1" si="9"/>
        <v/>
      </c>
    </row>
    <row r="15" spans="1:72" s="104" customFormat="1" ht="66" hidden="1" customHeight="1" outlineLevel="1" x14ac:dyDescent="0.2">
      <c r="A15" s="18"/>
      <c r="B15" s="95" t="s">
        <v>141</v>
      </c>
      <c r="C15" s="82" t="s">
        <v>43</v>
      </c>
      <c r="D15" s="96" t="s">
        <v>78</v>
      </c>
      <c r="E15" s="96"/>
      <c r="F15" s="96" t="s">
        <v>146</v>
      </c>
      <c r="G15" s="96"/>
      <c r="H15" s="136" t="b">
        <v>0</v>
      </c>
      <c r="I15" s="84">
        <v>46132</v>
      </c>
      <c r="J15" s="84"/>
      <c r="K15" s="85">
        <v>1</v>
      </c>
      <c r="L15" s="97"/>
      <c r="M15" s="98" t="str">
        <f t="shared" ca="1" si="4"/>
        <v/>
      </c>
      <c r="N15" s="98" t="str">
        <f t="shared" ca="1" si="4"/>
        <v/>
      </c>
      <c r="O15" s="98" t="str">
        <f t="shared" ca="1" si="4"/>
        <v/>
      </c>
      <c r="P15" s="98" t="str">
        <f t="shared" ca="1" si="4"/>
        <v/>
      </c>
      <c r="Q15" s="98" t="str">
        <f t="shared" ca="1" si="4"/>
        <v/>
      </c>
      <c r="R15" s="98" t="str">
        <f t="shared" ca="1" si="4"/>
        <v/>
      </c>
      <c r="S15" s="99" t="str">
        <f t="shared" ca="1" si="4"/>
        <v/>
      </c>
      <c r="T15" s="100" t="str">
        <f t="shared" ca="1" si="4"/>
        <v/>
      </c>
      <c r="U15" s="98" t="str">
        <f t="shared" ca="1" si="4"/>
        <v/>
      </c>
      <c r="V15" s="98" t="str">
        <f t="shared" ca="1" si="4"/>
        <v/>
      </c>
      <c r="W15" s="98" t="str">
        <f t="shared" ca="1" si="5"/>
        <v/>
      </c>
      <c r="X15" s="101" t="str">
        <f t="shared" ca="1" si="5"/>
        <v/>
      </c>
      <c r="Y15" s="102" t="str">
        <f t="shared" ca="1" si="5"/>
        <v/>
      </c>
      <c r="Z15" s="99" t="str">
        <f t="shared" ca="1" si="5"/>
        <v/>
      </c>
      <c r="AA15" s="100" t="str">
        <f t="shared" ca="1" si="5"/>
        <v/>
      </c>
      <c r="AB15" s="98" t="str">
        <f t="shared" ca="1" si="5"/>
        <v/>
      </c>
      <c r="AC15" s="98" t="str">
        <f t="shared" ca="1" si="5"/>
        <v/>
      </c>
      <c r="AD15" s="98" t="str">
        <f t="shared" ca="1" si="5"/>
        <v/>
      </c>
      <c r="AE15" s="101" t="str">
        <f t="shared" ca="1" si="5"/>
        <v/>
      </c>
      <c r="AF15" s="102" t="str">
        <f t="shared" ca="1" si="5"/>
        <v/>
      </c>
      <c r="AG15" s="99" t="str">
        <f t="shared" ca="1" si="6"/>
        <v/>
      </c>
      <c r="AH15" s="100" t="str">
        <f t="shared" ca="1" si="6"/>
        <v/>
      </c>
      <c r="AI15" s="98" t="str">
        <f t="shared" ca="1" si="6"/>
        <v/>
      </c>
      <c r="AJ15" s="98" t="str">
        <f t="shared" ca="1" si="6"/>
        <v/>
      </c>
      <c r="AK15" s="98" t="str">
        <f t="shared" ca="1" si="6"/>
        <v/>
      </c>
      <c r="AL15" s="101" t="str">
        <f t="shared" ca="1" si="6"/>
        <v/>
      </c>
      <c r="AM15" s="102" t="str">
        <f t="shared" ca="1" si="6"/>
        <v/>
      </c>
      <c r="AN15" s="99" t="str">
        <f t="shared" ca="1" si="6"/>
        <v/>
      </c>
      <c r="AO15" s="100" t="str">
        <f t="shared" ca="1" si="6"/>
        <v/>
      </c>
      <c r="AP15" s="98" t="str">
        <f t="shared" ca="1" si="6"/>
        <v/>
      </c>
      <c r="AQ15" s="98" t="str">
        <f t="shared" ca="1" si="7"/>
        <v/>
      </c>
      <c r="AR15" s="98" t="str">
        <f t="shared" ca="1" si="7"/>
        <v/>
      </c>
      <c r="AS15" s="101" t="str">
        <f t="shared" ca="1" si="7"/>
        <v/>
      </c>
      <c r="AT15" s="102" t="str">
        <f t="shared" ca="1" si="7"/>
        <v/>
      </c>
      <c r="AU15" s="98" t="str">
        <f t="shared" ca="1" si="7"/>
        <v/>
      </c>
      <c r="AV15" s="98" t="str">
        <f t="shared" ca="1" si="7"/>
        <v/>
      </c>
      <c r="AW15" s="103" t="str">
        <f t="shared" ca="1" si="7"/>
        <v/>
      </c>
      <c r="AX15" s="103" t="str">
        <f t="shared" ca="1" si="7"/>
        <v/>
      </c>
      <c r="AY15" s="103" t="str">
        <f t="shared" ca="1" si="7"/>
        <v/>
      </c>
      <c r="AZ15" s="103" t="str">
        <f t="shared" ca="1" si="7"/>
        <v/>
      </c>
      <c r="BA15" s="103" t="str">
        <f t="shared" ca="1" si="8"/>
        <v/>
      </c>
      <c r="BB15" s="103" t="str">
        <f t="shared" ca="1" si="8"/>
        <v/>
      </c>
      <c r="BC15" s="103" t="str">
        <f t="shared" ca="1" si="8"/>
        <v/>
      </c>
      <c r="BD15" s="103" t="str">
        <f t="shared" ca="1" si="8"/>
        <v/>
      </c>
      <c r="BE15" s="103" t="str">
        <f t="shared" ca="1" si="8"/>
        <v/>
      </c>
      <c r="BF15" s="103" t="str">
        <f t="shared" ca="1" si="8"/>
        <v/>
      </c>
      <c r="BG15" s="103" t="str">
        <f t="shared" ca="1" si="8"/>
        <v/>
      </c>
      <c r="BH15" s="103" t="str">
        <f t="shared" ca="1" si="8"/>
        <v/>
      </c>
      <c r="BI15" s="103" t="str">
        <f t="shared" ca="1" si="8"/>
        <v/>
      </c>
      <c r="BJ15" s="103" t="str">
        <f t="shared" ca="1" si="8"/>
        <v/>
      </c>
      <c r="BK15" s="103" t="str">
        <f t="shared" ca="1" si="9"/>
        <v/>
      </c>
      <c r="BL15" s="103" t="str">
        <f t="shared" ca="1" si="9"/>
        <v/>
      </c>
      <c r="BM15" s="103" t="str">
        <f t="shared" ca="1" si="9"/>
        <v/>
      </c>
      <c r="BN15" s="103" t="str">
        <f t="shared" ca="1" si="9"/>
        <v/>
      </c>
      <c r="BO15" s="103" t="str">
        <f t="shared" ca="1" si="9"/>
        <v/>
      </c>
      <c r="BP15" s="103" t="str">
        <f t="shared" ca="1" si="9"/>
        <v/>
      </c>
    </row>
    <row r="16" spans="1:72" s="104" customFormat="1" ht="66" hidden="1" customHeight="1" outlineLevel="1" x14ac:dyDescent="0.2">
      <c r="A16" s="18"/>
      <c r="B16" s="95" t="s">
        <v>142</v>
      </c>
      <c r="C16" s="95" t="s">
        <v>43</v>
      </c>
      <c r="D16" s="96" t="s">
        <v>78</v>
      </c>
      <c r="E16" s="96"/>
      <c r="F16" s="96" t="s">
        <v>144</v>
      </c>
      <c r="G16" s="96"/>
      <c r="H16" s="136" t="b">
        <v>0</v>
      </c>
      <c r="I16" s="84">
        <v>46132</v>
      </c>
      <c r="J16" s="84"/>
      <c r="K16" s="85">
        <v>1</v>
      </c>
      <c r="L16" s="97"/>
      <c r="M16" s="98" t="str">
        <f t="shared" ca="1" si="4"/>
        <v/>
      </c>
      <c r="N16" s="98" t="str">
        <f t="shared" ca="1" si="4"/>
        <v/>
      </c>
      <c r="O16" s="98" t="str">
        <f t="shared" ca="1" si="4"/>
        <v/>
      </c>
      <c r="P16" s="98" t="str">
        <f t="shared" ca="1" si="4"/>
        <v/>
      </c>
      <c r="Q16" s="98" t="str">
        <f t="shared" ca="1" si="4"/>
        <v/>
      </c>
      <c r="R16" s="98" t="str">
        <f t="shared" ca="1" si="4"/>
        <v/>
      </c>
      <c r="S16" s="99" t="str">
        <f t="shared" ca="1" si="4"/>
        <v/>
      </c>
      <c r="T16" s="100" t="str">
        <f t="shared" ca="1" si="4"/>
        <v/>
      </c>
      <c r="U16" s="98" t="str">
        <f t="shared" ca="1" si="4"/>
        <v/>
      </c>
      <c r="V16" s="98" t="str">
        <f t="shared" ca="1" si="4"/>
        <v/>
      </c>
      <c r="W16" s="98" t="str">
        <f t="shared" ca="1" si="5"/>
        <v/>
      </c>
      <c r="X16" s="101" t="str">
        <f t="shared" ca="1" si="5"/>
        <v/>
      </c>
      <c r="Y16" s="102" t="str">
        <f t="shared" ca="1" si="5"/>
        <v/>
      </c>
      <c r="Z16" s="99" t="str">
        <f t="shared" ca="1" si="5"/>
        <v/>
      </c>
      <c r="AA16" s="100" t="str">
        <f t="shared" ca="1" si="5"/>
        <v/>
      </c>
      <c r="AB16" s="98" t="str">
        <f t="shared" ca="1" si="5"/>
        <v/>
      </c>
      <c r="AC16" s="98" t="str">
        <f t="shared" ca="1" si="5"/>
        <v/>
      </c>
      <c r="AD16" s="98" t="str">
        <f t="shared" ca="1" si="5"/>
        <v/>
      </c>
      <c r="AE16" s="101" t="str">
        <f t="shared" ca="1" si="5"/>
        <v/>
      </c>
      <c r="AF16" s="102" t="str">
        <f t="shared" ca="1" si="5"/>
        <v/>
      </c>
      <c r="AG16" s="99" t="str">
        <f t="shared" ca="1" si="6"/>
        <v/>
      </c>
      <c r="AH16" s="100" t="str">
        <f t="shared" ca="1" si="6"/>
        <v/>
      </c>
      <c r="AI16" s="98" t="str">
        <f t="shared" ca="1" si="6"/>
        <v/>
      </c>
      <c r="AJ16" s="98" t="str">
        <f t="shared" ca="1" si="6"/>
        <v/>
      </c>
      <c r="AK16" s="98" t="str">
        <f t="shared" ca="1" si="6"/>
        <v/>
      </c>
      <c r="AL16" s="101" t="str">
        <f t="shared" ca="1" si="6"/>
        <v/>
      </c>
      <c r="AM16" s="102" t="str">
        <f t="shared" ca="1" si="6"/>
        <v/>
      </c>
      <c r="AN16" s="99" t="str">
        <f t="shared" ca="1" si="6"/>
        <v/>
      </c>
      <c r="AO16" s="100" t="str">
        <f t="shared" ca="1" si="6"/>
        <v/>
      </c>
      <c r="AP16" s="98" t="str">
        <f t="shared" ca="1" si="6"/>
        <v/>
      </c>
      <c r="AQ16" s="98" t="str">
        <f t="shared" ca="1" si="7"/>
        <v/>
      </c>
      <c r="AR16" s="98" t="str">
        <f t="shared" ca="1" si="7"/>
        <v/>
      </c>
      <c r="AS16" s="101" t="str">
        <f t="shared" ca="1" si="7"/>
        <v/>
      </c>
      <c r="AT16" s="102" t="str">
        <f t="shared" ca="1" si="7"/>
        <v/>
      </c>
      <c r="AU16" s="98" t="str">
        <f t="shared" ca="1" si="7"/>
        <v/>
      </c>
      <c r="AV16" s="98" t="str">
        <f t="shared" ca="1" si="7"/>
        <v/>
      </c>
      <c r="AW16" s="103" t="str">
        <f t="shared" ca="1" si="7"/>
        <v/>
      </c>
      <c r="AX16" s="103" t="str">
        <f t="shared" ca="1" si="7"/>
        <v/>
      </c>
      <c r="AY16" s="103" t="str">
        <f t="shared" ca="1" si="7"/>
        <v/>
      </c>
      <c r="AZ16" s="103" t="str">
        <f t="shared" ca="1" si="7"/>
        <v/>
      </c>
      <c r="BA16" s="103" t="str">
        <f t="shared" ca="1" si="8"/>
        <v/>
      </c>
      <c r="BB16" s="103" t="str">
        <f t="shared" ca="1" si="8"/>
        <v/>
      </c>
      <c r="BC16" s="103" t="str">
        <f t="shared" ca="1" si="8"/>
        <v/>
      </c>
      <c r="BD16" s="103" t="str">
        <f t="shared" ca="1" si="8"/>
        <v/>
      </c>
      <c r="BE16" s="103" t="str">
        <f t="shared" ca="1" si="8"/>
        <v/>
      </c>
      <c r="BF16" s="103" t="str">
        <f t="shared" ca="1" si="8"/>
        <v/>
      </c>
      <c r="BG16" s="103" t="str">
        <f t="shared" ca="1" si="8"/>
        <v/>
      </c>
      <c r="BH16" s="103" t="str">
        <f t="shared" ca="1" si="8"/>
        <v/>
      </c>
      <c r="BI16" s="103" t="str">
        <f t="shared" ca="1" si="8"/>
        <v/>
      </c>
      <c r="BJ16" s="103" t="str">
        <f t="shared" ca="1" si="8"/>
        <v/>
      </c>
      <c r="BK16" s="103" t="str">
        <f t="shared" ca="1" si="9"/>
        <v/>
      </c>
      <c r="BL16" s="103" t="str">
        <f t="shared" ca="1" si="9"/>
        <v/>
      </c>
      <c r="BM16" s="103" t="str">
        <f t="shared" ca="1" si="9"/>
        <v/>
      </c>
      <c r="BN16" s="103" t="str">
        <f t="shared" ca="1" si="9"/>
        <v/>
      </c>
      <c r="BO16" s="103" t="str">
        <f t="shared" ca="1" si="9"/>
        <v/>
      </c>
      <c r="BP16" s="103" t="str">
        <f t="shared" ca="1" si="9"/>
        <v/>
      </c>
    </row>
    <row r="17" spans="1:68" s="104" customFormat="1" ht="66" hidden="1" customHeight="1" outlineLevel="1" x14ac:dyDescent="0.2">
      <c r="A17" s="18"/>
      <c r="B17" s="95" t="s">
        <v>143</v>
      </c>
      <c r="C17" s="82" t="s">
        <v>43</v>
      </c>
      <c r="D17" s="96" t="s">
        <v>78</v>
      </c>
      <c r="E17" s="96"/>
      <c r="F17" s="96" t="s">
        <v>145</v>
      </c>
      <c r="G17" s="96"/>
      <c r="H17" s="136" t="b">
        <v>0</v>
      </c>
      <c r="I17" s="84">
        <v>46133</v>
      </c>
      <c r="J17" s="84"/>
      <c r="K17" s="85">
        <v>3</v>
      </c>
      <c r="L17" s="97"/>
      <c r="M17" s="98"/>
      <c r="N17" s="98"/>
      <c r="O17" s="98"/>
      <c r="P17" s="98"/>
      <c r="Q17" s="98"/>
      <c r="R17" s="98"/>
      <c r="S17" s="99"/>
      <c r="T17" s="100"/>
      <c r="U17" s="98"/>
      <c r="V17" s="98"/>
      <c r="W17" s="98"/>
      <c r="X17" s="101"/>
      <c r="Y17" s="102"/>
      <c r="Z17" s="99"/>
      <c r="AA17" s="100"/>
      <c r="AB17" s="98"/>
      <c r="AC17" s="98"/>
      <c r="AD17" s="98"/>
      <c r="AE17" s="101"/>
      <c r="AF17" s="102"/>
      <c r="AG17" s="99"/>
      <c r="AH17" s="100"/>
      <c r="AI17" s="98"/>
      <c r="AJ17" s="98"/>
      <c r="AK17" s="98"/>
      <c r="AL17" s="101"/>
      <c r="AM17" s="102"/>
      <c r="AN17" s="99"/>
      <c r="AO17" s="100"/>
      <c r="AP17" s="98"/>
      <c r="AQ17" s="98"/>
      <c r="AR17" s="98"/>
      <c r="AS17" s="101"/>
      <c r="AT17" s="102"/>
      <c r="AU17" s="98"/>
      <c r="AV17" s="98"/>
      <c r="AW17" s="103"/>
      <c r="AX17" s="103"/>
      <c r="AY17" s="103"/>
      <c r="AZ17" s="103"/>
      <c r="BA17" s="103"/>
      <c r="BB17" s="103"/>
      <c r="BC17" s="103"/>
      <c r="BD17" s="103"/>
      <c r="BE17" s="103"/>
      <c r="BF17" s="103"/>
      <c r="BG17" s="103"/>
      <c r="BH17" s="103"/>
      <c r="BI17" s="103"/>
      <c r="BJ17" s="103"/>
      <c r="BK17" s="103"/>
      <c r="BL17" s="103"/>
      <c r="BM17" s="103"/>
      <c r="BN17" s="103"/>
      <c r="BO17" s="103"/>
      <c r="BP17" s="103"/>
    </row>
    <row r="18" spans="1:68" s="104" customFormat="1" ht="74.25" customHeight="1" collapsed="1" x14ac:dyDescent="0.2">
      <c r="A18" s="81"/>
      <c r="B18" s="82" t="s">
        <v>152</v>
      </c>
      <c r="C18" s="82" t="s">
        <v>43</v>
      </c>
      <c r="D18" s="83" t="s">
        <v>78</v>
      </c>
      <c r="E18" s="83" t="s">
        <v>110</v>
      </c>
      <c r="F18" s="83" t="s">
        <v>132</v>
      </c>
      <c r="G18" s="83"/>
      <c r="H18" s="144">
        <f>COUNTIF(H19:H24,TRUE)/(COUNTIF(H19:H24,TRUE)+COUNTIF(H19:H24,FALSE))</f>
        <v>0</v>
      </c>
      <c r="I18" s="84">
        <f>I19</f>
        <v>46128</v>
      </c>
      <c r="J18" s="84"/>
      <c r="K18" s="85">
        <f>SUM(K19:K24)</f>
        <v>18</v>
      </c>
      <c r="L18" s="97"/>
      <c r="M18" s="98" t="str">
        <f t="shared" ref="M18:S23" ca="1" si="10">IF(AND($D18="Objetivo",M$7&gt;=$I18,M$7&lt;=$I18+$K18-1),2,IF(AND($D18="Hito",M$7&gt;=$I18,M$7&lt;=$I18+$K18-1),1,""))</f>
        <v/>
      </c>
      <c r="N18" s="98" t="str">
        <f t="shared" ca="1" si="10"/>
        <v/>
      </c>
      <c r="O18" s="98" t="str">
        <f t="shared" ca="1" si="10"/>
        <v/>
      </c>
      <c r="P18" s="98" t="str">
        <f t="shared" ca="1" si="10"/>
        <v/>
      </c>
      <c r="Q18" s="98" t="str">
        <f t="shared" ca="1" si="10"/>
        <v/>
      </c>
      <c r="R18" s="98" t="str">
        <f t="shared" ca="1" si="10"/>
        <v/>
      </c>
      <c r="S18" s="99" t="str">
        <f t="shared" ca="1" si="10"/>
        <v/>
      </c>
      <c r="T18" s="100"/>
      <c r="U18" s="98"/>
      <c r="V18" s="98"/>
      <c r="W18" s="98"/>
      <c r="X18" s="101"/>
      <c r="Y18" s="102"/>
      <c r="Z18" s="99"/>
      <c r="AA18" s="100"/>
      <c r="AB18" s="98"/>
      <c r="AC18" s="98"/>
      <c r="AD18" s="98"/>
      <c r="AE18" s="101"/>
      <c r="AF18" s="102"/>
      <c r="AG18" s="99"/>
      <c r="AH18" s="100"/>
      <c r="AI18" s="98"/>
      <c r="AJ18" s="98"/>
      <c r="AK18" s="98"/>
      <c r="AL18" s="101"/>
      <c r="AM18" s="102"/>
      <c r="AN18" s="99"/>
      <c r="AO18" s="100"/>
      <c r="AP18" s="98"/>
      <c r="AQ18" s="98"/>
      <c r="AR18" s="98"/>
      <c r="AS18" s="101"/>
      <c r="AT18" s="102"/>
      <c r="AU18" s="98" t="str">
        <f t="shared" ref="AU18:AZ23" ca="1" si="11">IF(AND($D18="Objetivo",AU$7&gt;=$I18,AU$7&lt;=$I18+$K18-1),2,IF(AND($D18="Hito",AU$7&gt;=$I18,AU$7&lt;=$I18+$K18-1),1,""))</f>
        <v/>
      </c>
      <c r="AV18" s="98" t="str">
        <f t="shared" ca="1" si="11"/>
        <v/>
      </c>
      <c r="AW18" s="103" t="str">
        <f t="shared" ca="1" si="11"/>
        <v/>
      </c>
      <c r="AX18" s="103" t="str">
        <f t="shared" ca="1" si="11"/>
        <v/>
      </c>
      <c r="AY18" s="103" t="str">
        <f t="shared" ca="1" si="11"/>
        <v/>
      </c>
      <c r="AZ18" s="103" t="str">
        <f t="shared" ca="1" si="11"/>
        <v/>
      </c>
      <c r="BA18" s="103" t="str">
        <f t="shared" ref="BA18:BJ23" ca="1" si="12">IF(AND($D18="Objetivo",BA$7&gt;=$I18,BA$7&lt;=$I18+$K18-1),2,IF(AND($D18="Hito",BA$7&gt;=$I18,BA$7&lt;=$I18+$K18-1),1,""))</f>
        <v/>
      </c>
      <c r="BB18" s="103" t="str">
        <f t="shared" ca="1" si="12"/>
        <v/>
      </c>
      <c r="BC18" s="103" t="str">
        <f t="shared" ca="1" si="12"/>
        <v/>
      </c>
      <c r="BD18" s="103" t="str">
        <f t="shared" ca="1" si="12"/>
        <v/>
      </c>
      <c r="BE18" s="103" t="str">
        <f t="shared" ca="1" si="12"/>
        <v/>
      </c>
      <c r="BF18" s="103" t="str">
        <f t="shared" ca="1" si="12"/>
        <v/>
      </c>
      <c r="BG18" s="103" t="str">
        <f t="shared" ca="1" si="12"/>
        <v/>
      </c>
      <c r="BH18" s="103" t="str">
        <f t="shared" ca="1" si="12"/>
        <v/>
      </c>
      <c r="BI18" s="103" t="str">
        <f t="shared" ca="1" si="12"/>
        <v/>
      </c>
      <c r="BJ18" s="103" t="str">
        <f t="shared" ca="1" si="12"/>
        <v/>
      </c>
      <c r="BK18" s="103" t="str">
        <f t="shared" ref="BK18:BP23" ca="1" si="13">IF(AND($D18="Objetivo",BK$7&gt;=$I18,BK$7&lt;=$I18+$K18-1),2,IF(AND($D18="Hito",BK$7&gt;=$I18,BK$7&lt;=$I18+$K18-1),1,""))</f>
        <v/>
      </c>
      <c r="BL18" s="103" t="str">
        <f t="shared" ca="1" si="13"/>
        <v/>
      </c>
      <c r="BM18" s="103" t="str">
        <f t="shared" ca="1" si="13"/>
        <v/>
      </c>
      <c r="BN18" s="103" t="str">
        <f t="shared" ca="1" si="13"/>
        <v/>
      </c>
      <c r="BO18" s="103" t="str">
        <f t="shared" ca="1" si="13"/>
        <v/>
      </c>
      <c r="BP18" s="103" t="str">
        <f t="shared" ca="1" si="13"/>
        <v/>
      </c>
    </row>
    <row r="19" spans="1:68" s="104" customFormat="1" ht="74.25" hidden="1" customHeight="1" outlineLevel="1" x14ac:dyDescent="0.2">
      <c r="A19" s="21"/>
      <c r="B19" s="95" t="s">
        <v>133</v>
      </c>
      <c r="C19" s="82" t="s">
        <v>43</v>
      </c>
      <c r="D19" s="96" t="s">
        <v>78</v>
      </c>
      <c r="E19" s="96" t="s">
        <v>84</v>
      </c>
      <c r="F19" s="96" t="s">
        <v>144</v>
      </c>
      <c r="G19" s="96"/>
      <c r="H19" s="136" t="b">
        <v>0</v>
      </c>
      <c r="I19" s="84">
        <v>46128</v>
      </c>
      <c r="J19" s="84"/>
      <c r="K19" s="85">
        <v>1</v>
      </c>
      <c r="L19" s="97"/>
      <c r="M19" s="98" t="str">
        <f t="shared" ca="1" si="10"/>
        <v/>
      </c>
      <c r="N19" s="98" t="str">
        <f t="shared" ca="1" si="10"/>
        <v/>
      </c>
      <c r="O19" s="98" t="str">
        <f t="shared" ca="1" si="10"/>
        <v/>
      </c>
      <c r="P19" s="98" t="str">
        <f t="shared" ca="1" si="10"/>
        <v/>
      </c>
      <c r="Q19" s="98" t="str">
        <f t="shared" ca="1" si="10"/>
        <v/>
      </c>
      <c r="R19" s="98" t="str">
        <f t="shared" ca="1" si="10"/>
        <v/>
      </c>
      <c r="S19" s="99" t="str">
        <f t="shared" ca="1" si="10"/>
        <v/>
      </c>
      <c r="T19" s="100"/>
      <c r="U19" s="98"/>
      <c r="V19" s="98"/>
      <c r="W19" s="98"/>
      <c r="X19" s="101"/>
      <c r="Y19" s="102"/>
      <c r="Z19" s="99"/>
      <c r="AA19" s="100"/>
      <c r="AB19" s="98"/>
      <c r="AC19" s="98"/>
      <c r="AD19" s="98"/>
      <c r="AE19" s="101"/>
      <c r="AF19" s="102"/>
      <c r="AG19" s="99"/>
      <c r="AH19" s="100"/>
      <c r="AI19" s="98"/>
      <c r="AJ19" s="98"/>
      <c r="AK19" s="98"/>
      <c r="AL19" s="101"/>
      <c r="AM19" s="102"/>
      <c r="AN19" s="99"/>
      <c r="AO19" s="100"/>
      <c r="AP19" s="98"/>
      <c r="AQ19" s="98"/>
      <c r="AR19" s="98"/>
      <c r="AS19" s="101"/>
      <c r="AT19" s="102"/>
      <c r="AU19" s="98" t="str">
        <f t="shared" ca="1" si="11"/>
        <v/>
      </c>
      <c r="AV19" s="98" t="str">
        <f t="shared" ca="1" si="11"/>
        <v/>
      </c>
      <c r="AW19" s="103" t="str">
        <f t="shared" ca="1" si="11"/>
        <v/>
      </c>
      <c r="AX19" s="103" t="str">
        <f t="shared" ca="1" si="11"/>
        <v/>
      </c>
      <c r="AY19" s="103" t="str">
        <f t="shared" ca="1" si="11"/>
        <v/>
      </c>
      <c r="AZ19" s="103" t="str">
        <f t="shared" ca="1" si="11"/>
        <v/>
      </c>
      <c r="BA19" s="103" t="str">
        <f t="shared" ca="1" si="12"/>
        <v/>
      </c>
      <c r="BB19" s="103" t="str">
        <f t="shared" ca="1" si="12"/>
        <v/>
      </c>
      <c r="BC19" s="103" t="str">
        <f t="shared" ca="1" si="12"/>
        <v/>
      </c>
      <c r="BD19" s="103" t="str">
        <f t="shared" ca="1" si="12"/>
        <v/>
      </c>
      <c r="BE19" s="103" t="str">
        <f t="shared" ca="1" si="12"/>
        <v/>
      </c>
      <c r="BF19" s="103" t="str">
        <f t="shared" ca="1" si="12"/>
        <v/>
      </c>
      <c r="BG19" s="103" t="str">
        <f t="shared" ca="1" si="12"/>
        <v/>
      </c>
      <c r="BH19" s="103" t="str">
        <f t="shared" ca="1" si="12"/>
        <v/>
      </c>
      <c r="BI19" s="103" t="str">
        <f t="shared" ca="1" si="12"/>
        <v/>
      </c>
      <c r="BJ19" s="103" t="str">
        <f t="shared" ca="1" si="12"/>
        <v/>
      </c>
      <c r="BK19" s="103" t="str">
        <f t="shared" ca="1" si="13"/>
        <v/>
      </c>
      <c r="BL19" s="103" t="str">
        <f t="shared" ca="1" si="13"/>
        <v/>
      </c>
      <c r="BM19" s="103" t="str">
        <f t="shared" ca="1" si="13"/>
        <v/>
      </c>
      <c r="BN19" s="103" t="str">
        <f t="shared" ca="1" si="13"/>
        <v/>
      </c>
      <c r="BO19" s="103" t="str">
        <f t="shared" ca="1" si="13"/>
        <v/>
      </c>
      <c r="BP19" s="103" t="str">
        <f t="shared" ca="1" si="13"/>
        <v/>
      </c>
    </row>
    <row r="20" spans="1:68" s="104" customFormat="1" ht="74.25" hidden="1" customHeight="1" outlineLevel="1" x14ac:dyDescent="0.2">
      <c r="A20" s="21"/>
      <c r="B20" s="95" t="s">
        <v>134</v>
      </c>
      <c r="C20" s="82" t="s">
        <v>43</v>
      </c>
      <c r="D20" s="96" t="s">
        <v>78</v>
      </c>
      <c r="E20" s="96"/>
      <c r="F20" s="96" t="s">
        <v>145</v>
      </c>
      <c r="G20" s="96"/>
      <c r="H20" s="136" t="b">
        <v>0</v>
      </c>
      <c r="I20" s="84">
        <v>46128</v>
      </c>
      <c r="J20" s="84"/>
      <c r="K20" s="85">
        <v>1</v>
      </c>
      <c r="L20" s="97"/>
      <c r="M20" s="98" t="str">
        <f t="shared" ca="1" si="10"/>
        <v/>
      </c>
      <c r="N20" s="98" t="str">
        <f t="shared" ca="1" si="10"/>
        <v/>
      </c>
      <c r="O20" s="98" t="str">
        <f t="shared" ca="1" si="10"/>
        <v/>
      </c>
      <c r="P20" s="98" t="str">
        <f t="shared" ca="1" si="10"/>
        <v/>
      </c>
      <c r="Q20" s="98" t="str">
        <f t="shared" ca="1" si="10"/>
        <v/>
      </c>
      <c r="R20" s="98" t="str">
        <f t="shared" ca="1" si="10"/>
        <v/>
      </c>
      <c r="S20" s="99" t="str">
        <f t="shared" ca="1" si="10"/>
        <v/>
      </c>
      <c r="T20" s="100"/>
      <c r="U20" s="98"/>
      <c r="V20" s="98"/>
      <c r="W20" s="98"/>
      <c r="X20" s="101"/>
      <c r="Y20" s="102"/>
      <c r="Z20" s="99"/>
      <c r="AA20" s="100"/>
      <c r="AB20" s="98"/>
      <c r="AC20" s="98"/>
      <c r="AD20" s="98"/>
      <c r="AE20" s="101"/>
      <c r="AF20" s="102"/>
      <c r="AG20" s="99"/>
      <c r="AH20" s="100"/>
      <c r="AI20" s="98"/>
      <c r="AJ20" s="98"/>
      <c r="AK20" s="98"/>
      <c r="AL20" s="101"/>
      <c r="AM20" s="102"/>
      <c r="AN20" s="99"/>
      <c r="AO20" s="100"/>
      <c r="AP20" s="98"/>
      <c r="AQ20" s="98"/>
      <c r="AR20" s="98"/>
      <c r="AS20" s="101"/>
      <c r="AT20" s="102"/>
      <c r="AU20" s="98" t="str">
        <f t="shared" ca="1" si="11"/>
        <v/>
      </c>
      <c r="AV20" s="98" t="str">
        <f t="shared" ca="1" si="11"/>
        <v/>
      </c>
      <c r="AW20" s="103" t="str">
        <f t="shared" ca="1" si="11"/>
        <v/>
      </c>
      <c r="AX20" s="103" t="str">
        <f t="shared" ca="1" si="11"/>
        <v/>
      </c>
      <c r="AY20" s="103" t="str">
        <f t="shared" ca="1" si="11"/>
        <v/>
      </c>
      <c r="AZ20" s="103" t="str">
        <f t="shared" ca="1" si="11"/>
        <v/>
      </c>
      <c r="BA20" s="103" t="str">
        <f t="shared" ca="1" si="12"/>
        <v/>
      </c>
      <c r="BB20" s="103" t="str">
        <f t="shared" ca="1" si="12"/>
        <v/>
      </c>
      <c r="BC20" s="103" t="str">
        <f t="shared" ca="1" si="12"/>
        <v/>
      </c>
      <c r="BD20" s="103" t="str">
        <f t="shared" ca="1" si="12"/>
        <v/>
      </c>
      <c r="BE20" s="103" t="str">
        <f t="shared" ca="1" si="12"/>
        <v/>
      </c>
      <c r="BF20" s="103" t="str">
        <f t="shared" ca="1" si="12"/>
        <v/>
      </c>
      <c r="BG20" s="103" t="str">
        <f t="shared" ca="1" si="12"/>
        <v/>
      </c>
      <c r="BH20" s="103" t="str">
        <f t="shared" ca="1" si="12"/>
        <v/>
      </c>
      <c r="BI20" s="103" t="str">
        <f t="shared" ca="1" si="12"/>
        <v/>
      </c>
      <c r="BJ20" s="103" t="str">
        <f t="shared" ca="1" si="12"/>
        <v/>
      </c>
      <c r="BK20" s="103" t="str">
        <f t="shared" ca="1" si="13"/>
        <v/>
      </c>
      <c r="BL20" s="103" t="str">
        <f t="shared" ca="1" si="13"/>
        <v/>
      </c>
      <c r="BM20" s="103" t="str">
        <f t="shared" ca="1" si="13"/>
        <v/>
      </c>
      <c r="BN20" s="103" t="str">
        <f t="shared" ca="1" si="13"/>
        <v/>
      </c>
      <c r="BO20" s="103" t="str">
        <f t="shared" ca="1" si="13"/>
        <v/>
      </c>
      <c r="BP20" s="103" t="str">
        <f t="shared" ca="1" si="13"/>
        <v/>
      </c>
    </row>
    <row r="21" spans="1:68" s="104" customFormat="1" ht="74.25" hidden="1" customHeight="1" outlineLevel="1" x14ac:dyDescent="0.2">
      <c r="A21" s="18"/>
      <c r="B21" s="95" t="s">
        <v>135</v>
      </c>
      <c r="C21" s="82" t="s">
        <v>43</v>
      </c>
      <c r="D21" s="96" t="s">
        <v>78</v>
      </c>
      <c r="E21" s="96"/>
      <c r="F21" s="96" t="s">
        <v>145</v>
      </c>
      <c r="G21" s="96"/>
      <c r="H21" s="136" t="b">
        <v>0</v>
      </c>
      <c r="I21" s="84">
        <v>46129</v>
      </c>
      <c r="J21" s="84"/>
      <c r="K21" s="85">
        <v>1</v>
      </c>
      <c r="L21" s="97"/>
      <c r="M21" s="98" t="str">
        <f t="shared" ca="1" si="10"/>
        <v/>
      </c>
      <c r="N21" s="98" t="str">
        <f t="shared" ca="1" si="10"/>
        <v/>
      </c>
      <c r="O21" s="98" t="str">
        <f t="shared" ca="1" si="10"/>
        <v/>
      </c>
      <c r="P21" s="98" t="str">
        <f t="shared" ca="1" si="10"/>
        <v/>
      </c>
      <c r="Q21" s="98" t="str">
        <f t="shared" ca="1" si="10"/>
        <v/>
      </c>
      <c r="R21" s="98" t="str">
        <f t="shared" ca="1" si="10"/>
        <v/>
      </c>
      <c r="S21" s="99" t="str">
        <f t="shared" ca="1" si="10"/>
        <v/>
      </c>
      <c r="T21" s="100"/>
      <c r="U21" s="98"/>
      <c r="V21" s="98"/>
      <c r="W21" s="98"/>
      <c r="X21" s="101"/>
      <c r="Y21" s="102"/>
      <c r="Z21" s="99"/>
      <c r="AA21" s="100"/>
      <c r="AB21" s="98"/>
      <c r="AC21" s="98"/>
      <c r="AD21" s="98"/>
      <c r="AE21" s="101"/>
      <c r="AF21" s="102"/>
      <c r="AG21" s="99"/>
      <c r="AH21" s="100"/>
      <c r="AI21" s="98"/>
      <c r="AJ21" s="98"/>
      <c r="AK21" s="98"/>
      <c r="AL21" s="101"/>
      <c r="AM21" s="102"/>
      <c r="AN21" s="99"/>
      <c r="AO21" s="100"/>
      <c r="AP21" s="98"/>
      <c r="AQ21" s="98"/>
      <c r="AR21" s="98"/>
      <c r="AS21" s="101"/>
      <c r="AT21" s="102"/>
      <c r="AU21" s="98" t="str">
        <f t="shared" ca="1" si="11"/>
        <v/>
      </c>
      <c r="AV21" s="98" t="str">
        <f t="shared" ca="1" si="11"/>
        <v/>
      </c>
      <c r="AW21" s="103" t="str">
        <f t="shared" ca="1" si="11"/>
        <v/>
      </c>
      <c r="AX21" s="103" t="str">
        <f t="shared" ca="1" si="11"/>
        <v/>
      </c>
      <c r="AY21" s="103" t="str">
        <f t="shared" ca="1" si="11"/>
        <v/>
      </c>
      <c r="AZ21" s="103" t="str">
        <f t="shared" ca="1" si="11"/>
        <v/>
      </c>
      <c r="BA21" s="103" t="str">
        <f t="shared" ca="1" si="12"/>
        <v/>
      </c>
      <c r="BB21" s="103" t="str">
        <f t="shared" ca="1" si="12"/>
        <v/>
      </c>
      <c r="BC21" s="103" t="str">
        <f t="shared" ca="1" si="12"/>
        <v/>
      </c>
      <c r="BD21" s="103" t="str">
        <f t="shared" ca="1" si="12"/>
        <v/>
      </c>
      <c r="BE21" s="103" t="str">
        <f t="shared" ca="1" si="12"/>
        <v/>
      </c>
      <c r="BF21" s="103" t="str">
        <f t="shared" ca="1" si="12"/>
        <v/>
      </c>
      <c r="BG21" s="103" t="str">
        <f t="shared" ca="1" si="12"/>
        <v/>
      </c>
      <c r="BH21" s="103" t="str">
        <f t="shared" ca="1" si="12"/>
        <v/>
      </c>
      <c r="BI21" s="103" t="str">
        <f t="shared" ca="1" si="12"/>
        <v/>
      </c>
      <c r="BJ21" s="103" t="str">
        <f t="shared" ca="1" si="12"/>
        <v/>
      </c>
      <c r="BK21" s="103" t="str">
        <f t="shared" ca="1" si="13"/>
        <v/>
      </c>
      <c r="BL21" s="103" t="str">
        <f t="shared" ca="1" si="13"/>
        <v/>
      </c>
      <c r="BM21" s="103" t="str">
        <f t="shared" ca="1" si="13"/>
        <v/>
      </c>
      <c r="BN21" s="103" t="str">
        <f t="shared" ca="1" si="13"/>
        <v/>
      </c>
      <c r="BO21" s="103" t="str">
        <f t="shared" ca="1" si="13"/>
        <v/>
      </c>
      <c r="BP21" s="103" t="str">
        <f t="shared" ca="1" si="13"/>
        <v/>
      </c>
    </row>
    <row r="22" spans="1:68" s="104" customFormat="1" ht="74.25" hidden="1" customHeight="1" outlineLevel="1" x14ac:dyDescent="0.2">
      <c r="A22" s="18"/>
      <c r="B22" s="95" t="s">
        <v>141</v>
      </c>
      <c r="C22" s="82" t="s">
        <v>43</v>
      </c>
      <c r="D22" s="96" t="s">
        <v>78</v>
      </c>
      <c r="E22" s="96"/>
      <c r="F22" s="96" t="s">
        <v>146</v>
      </c>
      <c r="G22" s="96"/>
      <c r="H22" s="136" t="b">
        <v>0</v>
      </c>
      <c r="I22" s="84">
        <v>46132</v>
      </c>
      <c r="J22" s="84"/>
      <c r="K22" s="85">
        <v>1</v>
      </c>
      <c r="L22" s="97"/>
      <c r="M22" s="98" t="str">
        <f t="shared" ca="1" si="10"/>
        <v/>
      </c>
      <c r="N22" s="98" t="str">
        <f t="shared" ca="1" si="10"/>
        <v/>
      </c>
      <c r="O22" s="98" t="str">
        <f t="shared" ca="1" si="10"/>
        <v/>
      </c>
      <c r="P22" s="98" t="str">
        <f t="shared" ca="1" si="10"/>
        <v/>
      </c>
      <c r="Q22" s="98" t="str">
        <f t="shared" ca="1" si="10"/>
        <v/>
      </c>
      <c r="R22" s="98" t="str">
        <f t="shared" ca="1" si="10"/>
        <v/>
      </c>
      <c r="S22" s="99" t="str">
        <f t="shared" ca="1" si="10"/>
        <v/>
      </c>
      <c r="T22" s="100"/>
      <c r="U22" s="98"/>
      <c r="V22" s="98"/>
      <c r="W22" s="98"/>
      <c r="X22" s="101"/>
      <c r="Y22" s="102"/>
      <c r="Z22" s="99"/>
      <c r="AA22" s="100"/>
      <c r="AB22" s="98"/>
      <c r="AC22" s="98"/>
      <c r="AD22" s="98"/>
      <c r="AE22" s="101"/>
      <c r="AF22" s="102"/>
      <c r="AG22" s="99"/>
      <c r="AH22" s="100"/>
      <c r="AI22" s="98"/>
      <c r="AJ22" s="98"/>
      <c r="AK22" s="98"/>
      <c r="AL22" s="101"/>
      <c r="AM22" s="102"/>
      <c r="AN22" s="99"/>
      <c r="AO22" s="100"/>
      <c r="AP22" s="98"/>
      <c r="AQ22" s="98"/>
      <c r="AR22" s="98"/>
      <c r="AS22" s="101"/>
      <c r="AT22" s="102"/>
      <c r="AU22" s="98" t="str">
        <f t="shared" ca="1" si="11"/>
        <v/>
      </c>
      <c r="AV22" s="98" t="str">
        <f t="shared" ca="1" si="11"/>
        <v/>
      </c>
      <c r="AW22" s="103" t="str">
        <f t="shared" ca="1" si="11"/>
        <v/>
      </c>
      <c r="AX22" s="103" t="str">
        <f t="shared" ca="1" si="11"/>
        <v/>
      </c>
      <c r="AY22" s="103" t="str">
        <f t="shared" ca="1" si="11"/>
        <v/>
      </c>
      <c r="AZ22" s="103" t="str">
        <f t="shared" ca="1" si="11"/>
        <v/>
      </c>
      <c r="BA22" s="103" t="str">
        <f t="shared" ca="1" si="12"/>
        <v/>
      </c>
      <c r="BB22" s="103" t="str">
        <f t="shared" ca="1" si="12"/>
        <v/>
      </c>
      <c r="BC22" s="103" t="str">
        <f t="shared" ca="1" si="12"/>
        <v/>
      </c>
      <c r="BD22" s="103" t="str">
        <f t="shared" ca="1" si="12"/>
        <v/>
      </c>
      <c r="BE22" s="103" t="str">
        <f t="shared" ca="1" si="12"/>
        <v/>
      </c>
      <c r="BF22" s="103" t="str">
        <f t="shared" ca="1" si="12"/>
        <v/>
      </c>
      <c r="BG22" s="103" t="str">
        <f t="shared" ca="1" si="12"/>
        <v/>
      </c>
      <c r="BH22" s="103" t="str">
        <f t="shared" ca="1" si="12"/>
        <v/>
      </c>
      <c r="BI22" s="103" t="str">
        <f t="shared" ca="1" si="12"/>
        <v/>
      </c>
      <c r="BJ22" s="103" t="str">
        <f t="shared" ca="1" si="12"/>
        <v/>
      </c>
      <c r="BK22" s="103" t="str">
        <f t="shared" ca="1" si="13"/>
        <v/>
      </c>
      <c r="BL22" s="103" t="str">
        <f t="shared" ca="1" si="13"/>
        <v/>
      </c>
      <c r="BM22" s="103" t="str">
        <f t="shared" ca="1" si="13"/>
        <v/>
      </c>
      <c r="BN22" s="103" t="str">
        <f t="shared" ca="1" si="13"/>
        <v/>
      </c>
      <c r="BO22" s="103" t="str">
        <f t="shared" ca="1" si="13"/>
        <v/>
      </c>
      <c r="BP22" s="103" t="str">
        <f t="shared" ca="1" si="13"/>
        <v/>
      </c>
    </row>
    <row r="23" spans="1:68" s="104" customFormat="1" ht="74.25" hidden="1" customHeight="1" outlineLevel="1" x14ac:dyDescent="0.2">
      <c r="A23" s="18"/>
      <c r="B23" s="95" t="s">
        <v>142</v>
      </c>
      <c r="C23" s="95" t="s">
        <v>43</v>
      </c>
      <c r="D23" s="96" t="s">
        <v>78</v>
      </c>
      <c r="E23" s="96"/>
      <c r="F23" s="96" t="s">
        <v>144</v>
      </c>
      <c r="G23" s="96"/>
      <c r="H23" s="136" t="b">
        <v>0</v>
      </c>
      <c r="I23" s="84">
        <v>46132</v>
      </c>
      <c r="J23" s="84"/>
      <c r="K23" s="85">
        <v>1</v>
      </c>
      <c r="L23" s="97"/>
      <c r="M23" s="98" t="str">
        <f t="shared" ca="1" si="10"/>
        <v/>
      </c>
      <c r="N23" s="98" t="str">
        <f t="shared" ca="1" si="10"/>
        <v/>
      </c>
      <c r="O23" s="98" t="str">
        <f t="shared" ca="1" si="10"/>
        <v/>
      </c>
      <c r="P23" s="98" t="str">
        <f t="shared" ca="1" si="10"/>
        <v/>
      </c>
      <c r="Q23" s="98" t="str">
        <f t="shared" ca="1" si="10"/>
        <v/>
      </c>
      <c r="R23" s="98" t="str">
        <f t="shared" ca="1" si="10"/>
        <v/>
      </c>
      <c r="S23" s="99" t="str">
        <f t="shared" ca="1" si="10"/>
        <v/>
      </c>
      <c r="T23" s="100"/>
      <c r="U23" s="98"/>
      <c r="V23" s="98"/>
      <c r="W23" s="98"/>
      <c r="X23" s="101"/>
      <c r="Y23" s="102"/>
      <c r="Z23" s="99"/>
      <c r="AA23" s="100"/>
      <c r="AB23" s="98"/>
      <c r="AC23" s="98"/>
      <c r="AD23" s="98"/>
      <c r="AE23" s="101"/>
      <c r="AF23" s="102"/>
      <c r="AG23" s="99"/>
      <c r="AH23" s="100"/>
      <c r="AI23" s="98"/>
      <c r="AJ23" s="98"/>
      <c r="AK23" s="98"/>
      <c r="AL23" s="101"/>
      <c r="AM23" s="102"/>
      <c r="AN23" s="99"/>
      <c r="AO23" s="100"/>
      <c r="AP23" s="98"/>
      <c r="AQ23" s="98"/>
      <c r="AR23" s="98"/>
      <c r="AS23" s="101"/>
      <c r="AT23" s="102"/>
      <c r="AU23" s="98" t="str">
        <f t="shared" ca="1" si="11"/>
        <v/>
      </c>
      <c r="AV23" s="98" t="str">
        <f t="shared" ca="1" si="11"/>
        <v/>
      </c>
      <c r="AW23" s="103" t="str">
        <f t="shared" ca="1" si="11"/>
        <v/>
      </c>
      <c r="AX23" s="103" t="str">
        <f t="shared" ca="1" si="11"/>
        <v/>
      </c>
      <c r="AY23" s="103" t="str">
        <f t="shared" ca="1" si="11"/>
        <v/>
      </c>
      <c r="AZ23" s="103" t="str">
        <f t="shared" ca="1" si="11"/>
        <v/>
      </c>
      <c r="BA23" s="103" t="str">
        <f t="shared" ca="1" si="12"/>
        <v/>
      </c>
      <c r="BB23" s="103" t="str">
        <f t="shared" ca="1" si="12"/>
        <v/>
      </c>
      <c r="BC23" s="103" t="str">
        <f t="shared" ca="1" si="12"/>
        <v/>
      </c>
      <c r="BD23" s="103" t="str">
        <f t="shared" ca="1" si="12"/>
        <v/>
      </c>
      <c r="BE23" s="103" t="str">
        <f t="shared" ca="1" si="12"/>
        <v/>
      </c>
      <c r="BF23" s="103" t="str">
        <f t="shared" ca="1" si="12"/>
        <v/>
      </c>
      <c r="BG23" s="103" t="str">
        <f t="shared" ca="1" si="12"/>
        <v/>
      </c>
      <c r="BH23" s="103" t="str">
        <f t="shared" ca="1" si="12"/>
        <v/>
      </c>
      <c r="BI23" s="103" t="str">
        <f t="shared" ca="1" si="12"/>
        <v/>
      </c>
      <c r="BJ23" s="103" t="str">
        <f t="shared" ca="1" si="12"/>
        <v/>
      </c>
      <c r="BK23" s="103" t="str">
        <f t="shared" ca="1" si="13"/>
        <v/>
      </c>
      <c r="BL23" s="103" t="str">
        <f t="shared" ca="1" si="13"/>
        <v/>
      </c>
      <c r="BM23" s="103" t="str">
        <f t="shared" ca="1" si="13"/>
        <v/>
      </c>
      <c r="BN23" s="103" t="str">
        <f t="shared" ca="1" si="13"/>
        <v/>
      </c>
      <c r="BO23" s="103" t="str">
        <f t="shared" ca="1" si="13"/>
        <v/>
      </c>
      <c r="BP23" s="103" t="str">
        <f t="shared" ca="1" si="13"/>
        <v/>
      </c>
    </row>
    <row r="24" spans="1:68" s="104" customFormat="1" ht="74.25" customHeight="1" collapsed="1" x14ac:dyDescent="0.2">
      <c r="A24" s="81"/>
      <c r="B24" s="82" t="s">
        <v>153</v>
      </c>
      <c r="C24" s="82" t="s">
        <v>43</v>
      </c>
      <c r="D24" s="83" t="s">
        <v>78</v>
      </c>
      <c r="E24" s="83" t="s">
        <v>110</v>
      </c>
      <c r="F24" s="83" t="s">
        <v>132</v>
      </c>
      <c r="G24" s="83"/>
      <c r="H24" s="144">
        <f>COUNTIF(H25:H30,TRUE)/(COUNTIF(H25:H30,TRUE)+COUNTIF(H25:H30,FALSE))</f>
        <v>0</v>
      </c>
      <c r="I24" s="84">
        <f>I25</f>
        <v>46128</v>
      </c>
      <c r="J24" s="84"/>
      <c r="K24" s="85">
        <f>SUM(K25:K30)</f>
        <v>13</v>
      </c>
      <c r="L24" s="97"/>
      <c r="M24" s="98" t="str">
        <f t="shared" ref="M24:S26" ca="1" si="14">IF(AND($D24="Objetivo",M$7&gt;=$I24,M$7&lt;=$I24+$K24-1),2,IF(AND($D24="Hito",M$7&gt;=$I24,M$7&lt;=$I24+$K24-1),1,""))</f>
        <v/>
      </c>
      <c r="N24" s="98" t="str">
        <f t="shared" ca="1" si="14"/>
        <v/>
      </c>
      <c r="O24" s="98" t="str">
        <f t="shared" ca="1" si="14"/>
        <v/>
      </c>
      <c r="P24" s="98" t="str">
        <f t="shared" ca="1" si="14"/>
        <v/>
      </c>
      <c r="Q24" s="98" t="str">
        <f t="shared" ca="1" si="14"/>
        <v/>
      </c>
      <c r="R24" s="98" t="str">
        <f t="shared" ca="1" si="14"/>
        <v/>
      </c>
      <c r="S24" s="99" t="str">
        <f t="shared" ca="1" si="14"/>
        <v/>
      </c>
      <c r="T24" s="105"/>
      <c r="U24" s="106"/>
      <c r="V24" s="98"/>
      <c r="W24" s="105"/>
      <c r="X24" s="105"/>
      <c r="Y24" s="107"/>
      <c r="Z24" s="108"/>
      <c r="AA24" s="109"/>
      <c r="AB24" s="106"/>
      <c r="AC24" s="110"/>
      <c r="AD24" s="110"/>
      <c r="AE24" s="111"/>
      <c r="AF24" s="112"/>
      <c r="AG24" s="113"/>
      <c r="AH24" s="109"/>
      <c r="AI24" s="110"/>
      <c r="AJ24" s="110"/>
      <c r="AK24" s="110"/>
      <c r="AL24" s="111"/>
      <c r="AM24" s="112"/>
      <c r="AN24" s="113"/>
      <c r="AO24" s="109"/>
      <c r="AP24" s="110"/>
      <c r="AQ24" s="110"/>
      <c r="AR24" s="110"/>
      <c r="AS24" s="111"/>
      <c r="AT24" s="112"/>
      <c r="AU24" s="110" t="str">
        <f t="shared" ref="AU24:AV26" ca="1" si="15">IF(AND($D24="Objetivo",AU$7&gt;=$I24,AU$7&lt;=$I24+$K24-1),2,IF(AND($D24="Hito",AU$7&gt;=$I24,AU$7&lt;=$I24+$K24-1),1,""))</f>
        <v/>
      </c>
      <c r="AV24" s="110" t="str">
        <f t="shared" ca="1" si="15"/>
        <v/>
      </c>
      <c r="AW24" s="110" t="str">
        <f t="shared" ref="AW24:BF26" ca="1" si="16">IF(AND($D24="Objetivo",AW$7&gt;=$I24,AW$7&lt;=$I24+$K24-1),2,IF(AND($D24="Hito",AW$7&gt;=$I24,AW$7&lt;=$I24+$K24-1),1,""))</f>
        <v/>
      </c>
      <c r="AX24" s="103" t="str">
        <f t="shared" ca="1" si="16"/>
        <v/>
      </c>
      <c r="AY24" s="103" t="str">
        <f t="shared" ca="1" si="16"/>
        <v/>
      </c>
      <c r="AZ24" s="103" t="str">
        <f t="shared" ca="1" si="16"/>
        <v/>
      </c>
      <c r="BA24" s="103" t="str">
        <f t="shared" ca="1" si="16"/>
        <v/>
      </c>
      <c r="BB24" s="103" t="str">
        <f t="shared" ca="1" si="16"/>
        <v/>
      </c>
      <c r="BC24" s="103" t="str">
        <f t="shared" ca="1" si="16"/>
        <v/>
      </c>
      <c r="BD24" s="103" t="str">
        <f t="shared" ca="1" si="16"/>
        <v/>
      </c>
      <c r="BE24" s="103" t="str">
        <f t="shared" ca="1" si="16"/>
        <v/>
      </c>
      <c r="BF24" s="103" t="str">
        <f t="shared" ca="1" si="16"/>
        <v/>
      </c>
      <c r="BG24" s="103" t="str">
        <f t="shared" ref="BG24:BP26" ca="1" si="17">IF(AND($D24="Objetivo",BG$7&gt;=$I24,BG$7&lt;=$I24+$K24-1),2,IF(AND($D24="Hito",BG$7&gt;=$I24,BG$7&lt;=$I24+$K24-1),1,""))</f>
        <v/>
      </c>
      <c r="BH24" s="103" t="str">
        <f t="shared" ca="1" si="17"/>
        <v/>
      </c>
      <c r="BI24" s="103" t="str">
        <f t="shared" ca="1" si="17"/>
        <v/>
      </c>
      <c r="BJ24" s="103" t="str">
        <f t="shared" ca="1" si="17"/>
        <v/>
      </c>
      <c r="BK24" s="103" t="str">
        <f t="shared" ca="1" si="17"/>
        <v/>
      </c>
      <c r="BL24" s="103" t="str">
        <f t="shared" ca="1" si="17"/>
        <v/>
      </c>
      <c r="BM24" s="103" t="str">
        <f t="shared" ca="1" si="17"/>
        <v/>
      </c>
      <c r="BN24" s="103" t="str">
        <f t="shared" ca="1" si="17"/>
        <v/>
      </c>
      <c r="BO24" s="103" t="str">
        <f t="shared" ca="1" si="17"/>
        <v/>
      </c>
      <c r="BP24" s="103" t="str">
        <f t="shared" ca="1" si="17"/>
        <v/>
      </c>
    </row>
    <row r="25" spans="1:68" s="104" customFormat="1" ht="74.25" hidden="1" customHeight="1" outlineLevel="1" x14ac:dyDescent="0.2">
      <c r="A25" s="21"/>
      <c r="B25" s="95" t="s">
        <v>133</v>
      </c>
      <c r="C25" s="82" t="s">
        <v>43</v>
      </c>
      <c r="D25" s="96" t="s">
        <v>78</v>
      </c>
      <c r="E25" s="96" t="s">
        <v>84</v>
      </c>
      <c r="F25" s="96" t="s">
        <v>144</v>
      </c>
      <c r="G25" s="96"/>
      <c r="H25" s="136" t="b">
        <v>0</v>
      </c>
      <c r="I25" s="84">
        <v>46128</v>
      </c>
      <c r="J25" s="84"/>
      <c r="K25" s="85">
        <v>1</v>
      </c>
      <c r="L25" s="97"/>
      <c r="M25" s="98" t="str">
        <f t="shared" ca="1" si="14"/>
        <v/>
      </c>
      <c r="N25" s="98" t="str">
        <f t="shared" ca="1" si="14"/>
        <v/>
      </c>
      <c r="O25" s="98" t="str">
        <f t="shared" ca="1" si="14"/>
        <v/>
      </c>
      <c r="P25" s="98" t="str">
        <f t="shared" ca="1" si="14"/>
        <v/>
      </c>
      <c r="Q25" s="98" t="str">
        <f t="shared" ca="1" si="14"/>
        <v/>
      </c>
      <c r="R25" s="98" t="str">
        <f t="shared" ca="1" si="14"/>
        <v/>
      </c>
      <c r="S25" s="99" t="str">
        <f t="shared" ca="1" si="14"/>
        <v/>
      </c>
      <c r="T25" s="100"/>
      <c r="U25" s="98"/>
      <c r="V25" s="98"/>
      <c r="W25" s="98"/>
      <c r="X25" s="101"/>
      <c r="Y25" s="112"/>
      <c r="Z25" s="113"/>
      <c r="AA25" s="109"/>
      <c r="AB25" s="110"/>
      <c r="AC25" s="110"/>
      <c r="AD25" s="110"/>
      <c r="AE25" s="111"/>
      <c r="AF25" s="112"/>
      <c r="AG25" s="113"/>
      <c r="AH25" s="109"/>
      <c r="AI25" s="110"/>
      <c r="AJ25" s="110"/>
      <c r="AK25" s="110"/>
      <c r="AL25" s="111"/>
      <c r="AM25" s="112"/>
      <c r="AN25" s="113"/>
      <c r="AO25" s="109"/>
      <c r="AP25" s="110"/>
      <c r="AQ25" s="110"/>
      <c r="AR25" s="110"/>
      <c r="AS25" s="111"/>
      <c r="AT25" s="112"/>
      <c r="AU25" s="110" t="str">
        <f t="shared" ca="1" si="15"/>
        <v/>
      </c>
      <c r="AV25" s="110" t="str">
        <f t="shared" ca="1" si="15"/>
        <v/>
      </c>
      <c r="AW25" s="110" t="str">
        <f t="shared" ca="1" si="16"/>
        <v/>
      </c>
      <c r="AX25" s="103" t="str">
        <f t="shared" ca="1" si="16"/>
        <v/>
      </c>
      <c r="AY25" s="103" t="str">
        <f t="shared" ca="1" si="16"/>
        <v/>
      </c>
      <c r="AZ25" s="103" t="str">
        <f t="shared" ca="1" si="16"/>
        <v/>
      </c>
      <c r="BA25" s="103" t="str">
        <f t="shared" ca="1" si="16"/>
        <v/>
      </c>
      <c r="BB25" s="103" t="str">
        <f t="shared" ca="1" si="16"/>
        <v/>
      </c>
      <c r="BC25" s="103" t="str">
        <f t="shared" ca="1" si="16"/>
        <v/>
      </c>
      <c r="BD25" s="103" t="str">
        <f t="shared" ca="1" si="16"/>
        <v/>
      </c>
      <c r="BE25" s="103" t="str">
        <f t="shared" ca="1" si="16"/>
        <v/>
      </c>
      <c r="BF25" s="103" t="str">
        <f t="shared" ca="1" si="16"/>
        <v/>
      </c>
      <c r="BG25" s="103" t="str">
        <f t="shared" ca="1" si="17"/>
        <v/>
      </c>
      <c r="BH25" s="103" t="str">
        <f t="shared" ca="1" si="17"/>
        <v/>
      </c>
      <c r="BI25" s="103" t="str">
        <f t="shared" ca="1" si="17"/>
        <v/>
      </c>
      <c r="BJ25" s="103" t="str">
        <f t="shared" ca="1" si="17"/>
        <v/>
      </c>
      <c r="BK25" s="103" t="str">
        <f t="shared" ca="1" si="17"/>
        <v/>
      </c>
      <c r="BL25" s="103" t="str">
        <f t="shared" ca="1" si="17"/>
        <v/>
      </c>
      <c r="BM25" s="103" t="str">
        <f t="shared" ca="1" si="17"/>
        <v/>
      </c>
      <c r="BN25" s="103" t="str">
        <f t="shared" ca="1" si="17"/>
        <v/>
      </c>
      <c r="BO25" s="103" t="str">
        <f t="shared" ca="1" si="17"/>
        <v/>
      </c>
      <c r="BP25" s="103" t="str">
        <f t="shared" ca="1" si="17"/>
        <v/>
      </c>
    </row>
    <row r="26" spans="1:68" s="104" customFormat="1" ht="74.25" hidden="1" customHeight="1" outlineLevel="1" x14ac:dyDescent="0.2">
      <c r="A26" s="21"/>
      <c r="B26" s="95" t="s">
        <v>134</v>
      </c>
      <c r="C26" s="82" t="s">
        <v>43</v>
      </c>
      <c r="D26" s="96" t="s">
        <v>78</v>
      </c>
      <c r="E26" s="96"/>
      <c r="F26" s="96" t="s">
        <v>145</v>
      </c>
      <c r="G26" s="96"/>
      <c r="H26" s="136" t="b">
        <v>0</v>
      </c>
      <c r="I26" s="84">
        <v>46128</v>
      </c>
      <c r="J26" s="84"/>
      <c r="K26" s="85">
        <v>1</v>
      </c>
      <c r="L26" s="97"/>
      <c r="M26" s="98" t="str">
        <f t="shared" ca="1" si="14"/>
        <v/>
      </c>
      <c r="N26" s="98" t="str">
        <f t="shared" ca="1" si="14"/>
        <v/>
      </c>
      <c r="O26" s="98" t="str">
        <f t="shared" ca="1" si="14"/>
        <v/>
      </c>
      <c r="P26" s="98" t="str">
        <f t="shared" ca="1" si="14"/>
        <v/>
      </c>
      <c r="Q26" s="98" t="str">
        <f t="shared" ca="1" si="14"/>
        <v/>
      </c>
      <c r="R26" s="98" t="str">
        <f t="shared" ca="1" si="14"/>
        <v/>
      </c>
      <c r="S26" s="99" t="str">
        <f t="shared" ca="1" si="14"/>
        <v/>
      </c>
      <c r="T26" s="100"/>
      <c r="U26" s="98"/>
      <c r="V26" s="98"/>
      <c r="W26" s="98"/>
      <c r="X26" s="101"/>
      <c r="Y26" s="112"/>
      <c r="Z26" s="113"/>
      <c r="AA26" s="109"/>
      <c r="AB26" s="110"/>
      <c r="AC26" s="110"/>
      <c r="AD26" s="110"/>
      <c r="AE26" s="111"/>
      <c r="AF26" s="112"/>
      <c r="AG26" s="113"/>
      <c r="AH26" s="109"/>
      <c r="AI26" s="110"/>
      <c r="AJ26" s="110"/>
      <c r="AK26" s="110"/>
      <c r="AL26" s="111"/>
      <c r="AM26" s="112"/>
      <c r="AN26" s="113"/>
      <c r="AO26" s="109"/>
      <c r="AP26" s="110"/>
      <c r="AQ26" s="110"/>
      <c r="AR26" s="110"/>
      <c r="AS26" s="111"/>
      <c r="AT26" s="112"/>
      <c r="AU26" s="110" t="str">
        <f t="shared" ca="1" si="15"/>
        <v/>
      </c>
      <c r="AV26" s="110" t="str">
        <f t="shared" ca="1" si="15"/>
        <v/>
      </c>
      <c r="AW26" s="110" t="str">
        <f t="shared" ca="1" si="16"/>
        <v/>
      </c>
      <c r="AX26" s="103" t="str">
        <f t="shared" ca="1" si="16"/>
        <v/>
      </c>
      <c r="AY26" s="103" t="str">
        <f t="shared" ca="1" si="16"/>
        <v/>
      </c>
      <c r="AZ26" s="103" t="str">
        <f t="shared" ca="1" si="16"/>
        <v/>
      </c>
      <c r="BA26" s="103" t="str">
        <f t="shared" ca="1" si="16"/>
        <v/>
      </c>
      <c r="BB26" s="103" t="str">
        <f t="shared" ca="1" si="16"/>
        <v/>
      </c>
      <c r="BC26" s="103" t="str">
        <f t="shared" ca="1" si="16"/>
        <v/>
      </c>
      <c r="BD26" s="103" t="str">
        <f t="shared" ca="1" si="16"/>
        <v/>
      </c>
      <c r="BE26" s="103" t="str">
        <f t="shared" ca="1" si="16"/>
        <v/>
      </c>
      <c r="BF26" s="103" t="str">
        <f t="shared" ca="1" si="16"/>
        <v/>
      </c>
      <c r="BG26" s="103" t="str">
        <f t="shared" ca="1" si="17"/>
        <v/>
      </c>
      <c r="BH26" s="103" t="str">
        <f t="shared" ca="1" si="17"/>
        <v/>
      </c>
      <c r="BI26" s="103" t="str">
        <f t="shared" ca="1" si="17"/>
        <v/>
      </c>
      <c r="BJ26" s="103" t="str">
        <f t="shared" ca="1" si="17"/>
        <v/>
      </c>
      <c r="BK26" s="103" t="str">
        <f t="shared" ca="1" si="17"/>
        <v/>
      </c>
      <c r="BL26" s="103" t="str">
        <f t="shared" ca="1" si="17"/>
        <v/>
      </c>
      <c r="BM26" s="103" t="str">
        <f t="shared" ca="1" si="17"/>
        <v/>
      </c>
      <c r="BN26" s="103" t="str">
        <f t="shared" ca="1" si="17"/>
        <v/>
      </c>
      <c r="BO26" s="103" t="str">
        <f t="shared" ca="1" si="17"/>
        <v/>
      </c>
      <c r="BP26" s="103" t="str">
        <f t="shared" ca="1" si="17"/>
        <v/>
      </c>
    </row>
    <row r="27" spans="1:68" s="104" customFormat="1" ht="74.25" hidden="1" customHeight="1" outlineLevel="1" x14ac:dyDescent="0.2">
      <c r="A27" s="18"/>
      <c r="B27" s="95" t="s">
        <v>135</v>
      </c>
      <c r="C27" s="82" t="s">
        <v>43</v>
      </c>
      <c r="D27" s="96" t="s">
        <v>78</v>
      </c>
      <c r="E27" s="96"/>
      <c r="F27" s="96" t="s">
        <v>145</v>
      </c>
      <c r="G27" s="96"/>
      <c r="H27" s="136" t="b">
        <v>0</v>
      </c>
      <c r="I27" s="84">
        <v>46129</v>
      </c>
      <c r="J27" s="84"/>
      <c r="K27" s="85">
        <v>1</v>
      </c>
      <c r="L27" s="97"/>
      <c r="M27" s="98"/>
      <c r="N27" s="98"/>
      <c r="O27" s="98"/>
      <c r="P27" s="98"/>
      <c r="Q27" s="98"/>
      <c r="R27" s="98"/>
      <c r="S27" s="99"/>
      <c r="T27" s="100"/>
      <c r="U27" s="98"/>
      <c r="V27" s="98"/>
      <c r="W27" s="98"/>
      <c r="X27" s="101"/>
      <c r="Y27" s="112"/>
      <c r="Z27" s="113"/>
      <c r="AA27" s="109"/>
      <c r="AB27" s="110"/>
      <c r="AC27" s="110"/>
      <c r="AD27" s="110"/>
      <c r="AE27" s="111"/>
      <c r="AF27" s="112"/>
      <c r="AG27" s="113"/>
      <c r="AH27" s="109"/>
      <c r="AI27" s="110"/>
      <c r="AJ27" s="110"/>
      <c r="AK27" s="110"/>
      <c r="AL27" s="111"/>
      <c r="AM27" s="112"/>
      <c r="AN27" s="113"/>
      <c r="AO27" s="109"/>
      <c r="AP27" s="110"/>
      <c r="AQ27" s="110"/>
      <c r="AR27" s="110"/>
      <c r="AS27" s="111"/>
      <c r="AT27" s="112"/>
      <c r="AU27" s="110"/>
      <c r="AV27" s="110"/>
      <c r="AW27" s="110"/>
      <c r="AX27" s="103"/>
      <c r="AY27" s="103"/>
      <c r="AZ27" s="103"/>
      <c r="BA27" s="103"/>
      <c r="BB27" s="103"/>
      <c r="BC27" s="103"/>
      <c r="BD27" s="103"/>
      <c r="BE27" s="103"/>
      <c r="BF27" s="103"/>
      <c r="BG27" s="103"/>
      <c r="BH27" s="103"/>
      <c r="BI27" s="103"/>
      <c r="BJ27" s="103"/>
      <c r="BK27" s="103"/>
      <c r="BL27" s="103"/>
      <c r="BM27" s="103"/>
      <c r="BN27" s="103"/>
      <c r="BO27" s="103"/>
      <c r="BP27" s="103"/>
    </row>
    <row r="28" spans="1:68" s="104" customFormat="1" ht="74.25" hidden="1" customHeight="1" outlineLevel="1" x14ac:dyDescent="0.2">
      <c r="A28" s="18"/>
      <c r="B28" s="95" t="s">
        <v>141</v>
      </c>
      <c r="C28" s="82" t="s">
        <v>43</v>
      </c>
      <c r="D28" s="96" t="s">
        <v>78</v>
      </c>
      <c r="E28" s="96"/>
      <c r="F28" s="96" t="s">
        <v>146</v>
      </c>
      <c r="G28" s="96"/>
      <c r="H28" s="136" t="b">
        <v>0</v>
      </c>
      <c r="I28" s="84">
        <v>46132</v>
      </c>
      <c r="J28" s="84"/>
      <c r="K28" s="85">
        <v>1</v>
      </c>
      <c r="L28" s="97"/>
      <c r="M28" s="98" t="str">
        <f t="shared" ref="M28:S29" ca="1" si="18">IF(AND($D28="Objetivo",M$7&gt;=$I28,M$7&lt;=$I28+$K28-1),2,IF(AND($D28="Hito",M$7&gt;=$I28,M$7&lt;=$I28+$K28-1),1,""))</f>
        <v/>
      </c>
      <c r="N28" s="98" t="str">
        <f t="shared" ca="1" si="18"/>
        <v/>
      </c>
      <c r="O28" s="98" t="str">
        <f t="shared" ca="1" si="18"/>
        <v/>
      </c>
      <c r="P28" s="98" t="str">
        <f t="shared" ca="1" si="18"/>
        <v/>
      </c>
      <c r="Q28" s="98" t="str">
        <f t="shared" ca="1" si="18"/>
        <v/>
      </c>
      <c r="R28" s="98" t="str">
        <f t="shared" ca="1" si="18"/>
        <v/>
      </c>
      <c r="S28" s="99" t="str">
        <f t="shared" ca="1" si="18"/>
        <v/>
      </c>
      <c r="T28" s="100"/>
      <c r="U28" s="98"/>
      <c r="V28" s="98"/>
      <c r="W28" s="98"/>
      <c r="X28" s="101"/>
      <c r="Y28" s="112"/>
      <c r="Z28" s="113"/>
      <c r="AA28" s="109"/>
      <c r="AB28" s="110"/>
      <c r="AC28" s="110"/>
      <c r="AD28" s="110"/>
      <c r="AE28" s="111"/>
      <c r="AF28" s="112"/>
      <c r="AG28" s="113"/>
      <c r="AH28" s="109"/>
      <c r="AI28" s="110"/>
      <c r="AJ28" s="110"/>
      <c r="AK28" s="110"/>
      <c r="AL28" s="111"/>
      <c r="AM28" s="112"/>
      <c r="AN28" s="113"/>
      <c r="AO28" s="109"/>
      <c r="AP28" s="110"/>
      <c r="AQ28" s="110"/>
      <c r="AR28" s="110"/>
      <c r="AS28" s="111"/>
      <c r="AT28" s="112"/>
      <c r="AU28" s="110" t="str">
        <f t="shared" ref="AU28:AZ29" ca="1" si="19">IF(AND($D28="Objetivo",AU$7&gt;=$I28,AU$7&lt;=$I28+$K28-1),2,IF(AND($D28="Hito",AU$7&gt;=$I28,AU$7&lt;=$I28+$K28-1),1,""))</f>
        <v/>
      </c>
      <c r="AV28" s="110" t="str">
        <f t="shared" ca="1" si="19"/>
        <v/>
      </c>
      <c r="AW28" s="110" t="str">
        <f t="shared" ca="1" si="19"/>
        <v/>
      </c>
      <c r="AX28" s="103" t="str">
        <f t="shared" ca="1" si="19"/>
        <v/>
      </c>
      <c r="AY28" s="103" t="str">
        <f t="shared" ca="1" si="19"/>
        <v/>
      </c>
      <c r="AZ28" s="103" t="str">
        <f t="shared" ca="1" si="19"/>
        <v/>
      </c>
      <c r="BA28" s="103" t="str">
        <f t="shared" ref="BA28:BJ29" ca="1" si="20">IF(AND($D28="Objetivo",BA$7&gt;=$I28,BA$7&lt;=$I28+$K28-1),2,IF(AND($D28="Hito",BA$7&gt;=$I28,BA$7&lt;=$I28+$K28-1),1,""))</f>
        <v/>
      </c>
      <c r="BB28" s="103" t="str">
        <f t="shared" ca="1" si="20"/>
        <v/>
      </c>
      <c r="BC28" s="103" t="str">
        <f t="shared" ca="1" si="20"/>
        <v/>
      </c>
      <c r="BD28" s="103" t="str">
        <f t="shared" ca="1" si="20"/>
        <v/>
      </c>
      <c r="BE28" s="103" t="str">
        <f t="shared" ca="1" si="20"/>
        <v/>
      </c>
      <c r="BF28" s="103" t="str">
        <f t="shared" ca="1" si="20"/>
        <v/>
      </c>
      <c r="BG28" s="103" t="str">
        <f t="shared" ca="1" si="20"/>
        <v/>
      </c>
      <c r="BH28" s="103" t="str">
        <f t="shared" ca="1" si="20"/>
        <v/>
      </c>
      <c r="BI28" s="103" t="str">
        <f t="shared" ca="1" si="20"/>
        <v/>
      </c>
      <c r="BJ28" s="103" t="str">
        <f t="shared" ca="1" si="20"/>
        <v/>
      </c>
      <c r="BK28" s="103" t="str">
        <f t="shared" ref="BK28:BP29" ca="1" si="21">IF(AND($D28="Objetivo",BK$7&gt;=$I28,BK$7&lt;=$I28+$K28-1),2,IF(AND($D28="Hito",BK$7&gt;=$I28,BK$7&lt;=$I28+$K28-1),1,""))</f>
        <v/>
      </c>
      <c r="BL28" s="103" t="str">
        <f t="shared" ca="1" si="21"/>
        <v/>
      </c>
      <c r="BM28" s="103" t="str">
        <f t="shared" ca="1" si="21"/>
        <v/>
      </c>
      <c r="BN28" s="103" t="str">
        <f t="shared" ca="1" si="21"/>
        <v/>
      </c>
      <c r="BO28" s="103" t="str">
        <f t="shared" ca="1" si="21"/>
        <v/>
      </c>
      <c r="BP28" s="103" t="str">
        <f t="shared" ca="1" si="21"/>
        <v/>
      </c>
    </row>
    <row r="29" spans="1:68" s="104" customFormat="1" ht="74.25" hidden="1" customHeight="1" outlineLevel="1" x14ac:dyDescent="0.2">
      <c r="A29" s="18"/>
      <c r="B29" s="95" t="s">
        <v>142</v>
      </c>
      <c r="C29" s="95" t="s">
        <v>43</v>
      </c>
      <c r="D29" s="96" t="s">
        <v>78</v>
      </c>
      <c r="E29" s="96"/>
      <c r="F29" s="96" t="s">
        <v>144</v>
      </c>
      <c r="G29" s="96"/>
      <c r="H29" s="136" t="b">
        <v>0</v>
      </c>
      <c r="I29" s="84">
        <v>46132</v>
      </c>
      <c r="J29" s="84"/>
      <c r="K29" s="85">
        <v>1</v>
      </c>
      <c r="L29" s="97"/>
      <c r="M29" s="98" t="str">
        <f t="shared" ca="1" si="18"/>
        <v/>
      </c>
      <c r="N29" s="98" t="str">
        <f t="shared" ca="1" si="18"/>
        <v/>
      </c>
      <c r="O29" s="98" t="str">
        <f t="shared" ca="1" si="18"/>
        <v/>
      </c>
      <c r="P29" s="98" t="str">
        <f t="shared" ca="1" si="18"/>
        <v/>
      </c>
      <c r="Q29" s="98" t="str">
        <f t="shared" ca="1" si="18"/>
        <v/>
      </c>
      <c r="R29" s="98" t="str">
        <f t="shared" ca="1" si="18"/>
        <v/>
      </c>
      <c r="S29" s="99" t="str">
        <f t="shared" ca="1" si="18"/>
        <v/>
      </c>
      <c r="T29" s="100"/>
      <c r="U29" s="98"/>
      <c r="V29" s="98"/>
      <c r="W29" s="98"/>
      <c r="X29" s="101"/>
      <c r="Y29" s="112"/>
      <c r="Z29" s="113"/>
      <c r="AA29" s="109"/>
      <c r="AB29" s="110"/>
      <c r="AC29" s="110"/>
      <c r="AD29" s="110"/>
      <c r="AE29" s="111"/>
      <c r="AF29" s="112"/>
      <c r="AG29" s="113"/>
      <c r="AH29" s="109"/>
      <c r="AI29" s="110"/>
      <c r="AJ29" s="110"/>
      <c r="AK29" s="110"/>
      <c r="AL29" s="111"/>
      <c r="AM29" s="112"/>
      <c r="AN29" s="113"/>
      <c r="AO29" s="109"/>
      <c r="AP29" s="110"/>
      <c r="AQ29" s="110"/>
      <c r="AR29" s="110"/>
      <c r="AS29" s="111"/>
      <c r="AT29" s="112"/>
      <c r="AU29" s="110" t="str">
        <f t="shared" ca="1" si="19"/>
        <v/>
      </c>
      <c r="AV29" s="110" t="str">
        <f t="shared" ca="1" si="19"/>
        <v/>
      </c>
      <c r="AW29" s="110" t="str">
        <f t="shared" ca="1" si="19"/>
        <v/>
      </c>
      <c r="AX29" s="103" t="str">
        <f t="shared" ca="1" si="19"/>
        <v/>
      </c>
      <c r="AY29" s="103" t="str">
        <f t="shared" ca="1" si="19"/>
        <v/>
      </c>
      <c r="AZ29" s="103" t="str">
        <f t="shared" ca="1" si="19"/>
        <v/>
      </c>
      <c r="BA29" s="103" t="str">
        <f t="shared" ca="1" si="20"/>
        <v/>
      </c>
      <c r="BB29" s="103" t="str">
        <f t="shared" ca="1" si="20"/>
        <v/>
      </c>
      <c r="BC29" s="103" t="str">
        <f t="shared" ca="1" si="20"/>
        <v/>
      </c>
      <c r="BD29" s="103" t="str">
        <f t="shared" ca="1" si="20"/>
        <v/>
      </c>
      <c r="BE29" s="103" t="str">
        <f t="shared" ca="1" si="20"/>
        <v/>
      </c>
      <c r="BF29" s="103" t="str">
        <f t="shared" ca="1" si="20"/>
        <v/>
      </c>
      <c r="BG29" s="103" t="str">
        <f t="shared" ca="1" si="20"/>
        <v/>
      </c>
      <c r="BH29" s="103" t="str">
        <f t="shared" ca="1" si="20"/>
        <v/>
      </c>
      <c r="BI29" s="103" t="str">
        <f t="shared" ca="1" si="20"/>
        <v/>
      </c>
      <c r="BJ29" s="103" t="str">
        <f t="shared" ca="1" si="20"/>
        <v/>
      </c>
      <c r="BK29" s="103" t="str">
        <f t="shared" ca="1" si="21"/>
        <v/>
      </c>
      <c r="BL29" s="103" t="str">
        <f t="shared" ca="1" si="21"/>
        <v/>
      </c>
      <c r="BM29" s="103" t="str">
        <f t="shared" ca="1" si="21"/>
        <v/>
      </c>
      <c r="BN29" s="103" t="str">
        <f t="shared" ca="1" si="21"/>
        <v/>
      </c>
      <c r="BO29" s="103" t="str">
        <f t="shared" ca="1" si="21"/>
        <v/>
      </c>
      <c r="BP29" s="103" t="str">
        <f t="shared" ca="1" si="21"/>
        <v/>
      </c>
    </row>
    <row r="30" spans="1:68" s="104" customFormat="1" ht="74.25" customHeight="1" collapsed="1" x14ac:dyDescent="0.2">
      <c r="A30" s="81"/>
      <c r="B30" s="82" t="s">
        <v>140</v>
      </c>
      <c r="C30" s="82" t="s">
        <v>43</v>
      </c>
      <c r="D30" s="83" t="s">
        <v>78</v>
      </c>
      <c r="E30" s="83" t="s">
        <v>110</v>
      </c>
      <c r="F30" s="83" t="s">
        <v>132</v>
      </c>
      <c r="G30" s="83"/>
      <c r="H30" s="144">
        <f>COUNTIF(H31:H36,TRUE)/(COUNTIF(H31:H36,TRUE)+COUNTIF(H31:H36,FALSE))</f>
        <v>0</v>
      </c>
      <c r="I30" s="84">
        <f>I31</f>
        <v>46128</v>
      </c>
      <c r="J30" s="84"/>
      <c r="K30" s="85">
        <f>SUM(K31:K36)</f>
        <v>8</v>
      </c>
      <c r="L30" s="97"/>
      <c r="M30" s="98" t="str">
        <f t="shared" ref="M30:S32" ca="1" si="22">IF(AND($D30="Objetivo",M$7&gt;=$I30,M$7&lt;=$I30+$K30-1),2,IF(AND($D30="Hito",M$7&gt;=$I30,M$7&lt;=$I30+$K30-1),1,""))</f>
        <v/>
      </c>
      <c r="N30" s="98" t="str">
        <f t="shared" ca="1" si="22"/>
        <v/>
      </c>
      <c r="O30" s="98" t="str">
        <f t="shared" ca="1" si="22"/>
        <v/>
      </c>
      <c r="P30" s="98" t="str">
        <f t="shared" ca="1" si="22"/>
        <v/>
      </c>
      <c r="Q30" s="98" t="str">
        <f t="shared" ca="1" si="22"/>
        <v/>
      </c>
      <c r="R30" s="98" t="str">
        <f t="shared" ca="1" si="22"/>
        <v/>
      </c>
      <c r="S30" s="99" t="str">
        <f t="shared" ca="1" si="22"/>
        <v/>
      </c>
      <c r="T30" s="100"/>
      <c r="U30" s="98"/>
      <c r="V30" s="98"/>
      <c r="W30" s="98"/>
      <c r="X30" s="101"/>
      <c r="Y30" s="112"/>
      <c r="Z30" s="113"/>
      <c r="AA30" s="109"/>
      <c r="AB30" s="106"/>
      <c r="AC30" s="106"/>
      <c r="AD30" s="110"/>
      <c r="AE30" s="114"/>
      <c r="AF30" s="112"/>
      <c r="AG30" s="115"/>
      <c r="AH30" s="109"/>
      <c r="AI30" s="106"/>
      <c r="AJ30" s="110"/>
      <c r="AK30" s="110"/>
      <c r="AL30" s="114"/>
      <c r="AM30" s="112"/>
      <c r="AN30" s="113"/>
      <c r="AO30" s="105"/>
      <c r="AP30" s="106"/>
      <c r="AQ30" s="110"/>
      <c r="AR30" s="106"/>
      <c r="AS30" s="114"/>
      <c r="AT30" s="112"/>
      <c r="AU30" s="110"/>
      <c r="AV30" s="106"/>
      <c r="AW30" s="110" t="str">
        <f t="shared" ref="AW30:BF32" ca="1" si="23">IF(AND($D30="Objetivo",AW$7&gt;=$I30,AW$7&lt;=$I30+$K30-1),2,IF(AND($D30="Hito",AW$7&gt;=$I30,AW$7&lt;=$I30+$K30-1),1,""))</f>
        <v/>
      </c>
      <c r="AX30" s="103" t="str">
        <f t="shared" ca="1" si="23"/>
        <v/>
      </c>
      <c r="AY30" s="103" t="str">
        <f t="shared" ca="1" si="23"/>
        <v/>
      </c>
      <c r="AZ30" s="103" t="str">
        <f t="shared" ca="1" si="23"/>
        <v/>
      </c>
      <c r="BA30" s="103" t="str">
        <f t="shared" ca="1" si="23"/>
        <v/>
      </c>
      <c r="BB30" s="103" t="str">
        <f t="shared" ca="1" si="23"/>
        <v/>
      </c>
      <c r="BC30" s="103" t="str">
        <f t="shared" ca="1" si="23"/>
        <v/>
      </c>
      <c r="BD30" s="103" t="str">
        <f t="shared" ca="1" si="23"/>
        <v/>
      </c>
      <c r="BE30" s="103" t="str">
        <f t="shared" ca="1" si="23"/>
        <v/>
      </c>
      <c r="BF30" s="103" t="str">
        <f t="shared" ca="1" si="23"/>
        <v/>
      </c>
      <c r="BG30" s="103" t="str">
        <f t="shared" ref="BG30:BP32" ca="1" si="24">IF(AND($D30="Objetivo",BG$7&gt;=$I30,BG$7&lt;=$I30+$K30-1),2,IF(AND($D30="Hito",BG$7&gt;=$I30,BG$7&lt;=$I30+$K30-1),1,""))</f>
        <v/>
      </c>
      <c r="BH30" s="103" t="str">
        <f t="shared" ca="1" si="24"/>
        <v/>
      </c>
      <c r="BI30" s="103" t="str">
        <f t="shared" ca="1" si="24"/>
        <v/>
      </c>
      <c r="BJ30" s="103" t="str">
        <f t="shared" ca="1" si="24"/>
        <v/>
      </c>
      <c r="BK30" s="103" t="str">
        <f t="shared" ca="1" si="24"/>
        <v/>
      </c>
      <c r="BL30" s="103" t="str">
        <f t="shared" ca="1" si="24"/>
        <v/>
      </c>
      <c r="BM30" s="103" t="str">
        <f t="shared" ca="1" si="24"/>
        <v/>
      </c>
      <c r="BN30" s="103" t="str">
        <f t="shared" ca="1" si="24"/>
        <v/>
      </c>
      <c r="BO30" s="103" t="str">
        <f t="shared" ca="1" si="24"/>
        <v/>
      </c>
      <c r="BP30" s="103" t="str">
        <f t="shared" ca="1" si="24"/>
        <v/>
      </c>
    </row>
    <row r="31" spans="1:68" s="104" customFormat="1" ht="40.25" hidden="1" customHeight="1" outlineLevel="1" x14ac:dyDescent="0.2">
      <c r="A31" s="21"/>
      <c r="B31" s="95" t="s">
        <v>133</v>
      </c>
      <c r="C31" s="82" t="s">
        <v>43</v>
      </c>
      <c r="D31" s="96" t="s">
        <v>78</v>
      </c>
      <c r="E31" s="96" t="s">
        <v>84</v>
      </c>
      <c r="F31" s="96" t="s">
        <v>144</v>
      </c>
      <c r="G31" s="96"/>
      <c r="H31" s="136" t="b">
        <v>0</v>
      </c>
      <c r="I31" s="84">
        <v>46128</v>
      </c>
      <c r="J31" s="84"/>
      <c r="K31" s="85">
        <v>1</v>
      </c>
      <c r="L31" s="97"/>
      <c r="M31" s="98" t="str">
        <f t="shared" ca="1" si="22"/>
        <v/>
      </c>
      <c r="N31" s="98" t="str">
        <f t="shared" ca="1" si="22"/>
        <v/>
      </c>
      <c r="O31" s="98" t="str">
        <f t="shared" ca="1" si="22"/>
        <v/>
      </c>
      <c r="P31" s="98" t="str">
        <f t="shared" ca="1" si="22"/>
        <v/>
      </c>
      <c r="Q31" s="98" t="str">
        <f t="shared" ca="1" si="22"/>
        <v/>
      </c>
      <c r="R31" s="98" t="str">
        <f t="shared" ca="1" si="22"/>
        <v/>
      </c>
      <c r="S31" s="99" t="str">
        <f t="shared" ca="1" si="22"/>
        <v/>
      </c>
      <c r="T31" s="100"/>
      <c r="U31" s="98"/>
      <c r="V31" s="98"/>
      <c r="W31" s="98"/>
      <c r="X31" s="101"/>
      <c r="Y31" s="102"/>
      <c r="Z31" s="99"/>
      <c r="AA31" s="100"/>
      <c r="AB31" s="98"/>
      <c r="AC31" s="98"/>
      <c r="AD31" s="98"/>
      <c r="AE31" s="101"/>
      <c r="AF31" s="102"/>
      <c r="AG31" s="99"/>
      <c r="AH31" s="100"/>
      <c r="AI31" s="98"/>
      <c r="AJ31" s="98"/>
      <c r="AK31" s="98"/>
      <c r="AL31" s="101"/>
      <c r="AM31" s="102"/>
      <c r="AN31" s="99"/>
      <c r="AO31" s="100"/>
      <c r="AP31" s="98"/>
      <c r="AQ31" s="98"/>
      <c r="AR31" s="98"/>
      <c r="AS31" s="101"/>
      <c r="AT31" s="102"/>
      <c r="AU31" s="98" t="str">
        <f t="shared" ref="AU31:AV32" ca="1" si="25">IF(AND($D31="Objetivo",AU$7&gt;=$I31,AU$7&lt;=$I31+$K31-1),2,IF(AND($D31="Hito",AU$7&gt;=$I31,AU$7&lt;=$I31+$K31-1),1,""))</f>
        <v/>
      </c>
      <c r="AV31" s="98" t="str">
        <f t="shared" ca="1" si="25"/>
        <v/>
      </c>
      <c r="AW31" s="103" t="str">
        <f t="shared" ca="1" si="23"/>
        <v/>
      </c>
      <c r="AX31" s="103" t="str">
        <f t="shared" ca="1" si="23"/>
        <v/>
      </c>
      <c r="AY31" s="103" t="str">
        <f t="shared" ca="1" si="23"/>
        <v/>
      </c>
      <c r="AZ31" s="103" t="str">
        <f t="shared" ca="1" si="23"/>
        <v/>
      </c>
      <c r="BA31" s="103" t="str">
        <f t="shared" ca="1" si="23"/>
        <v/>
      </c>
      <c r="BB31" s="103" t="str">
        <f t="shared" ca="1" si="23"/>
        <v/>
      </c>
      <c r="BC31" s="103" t="str">
        <f t="shared" ca="1" si="23"/>
        <v/>
      </c>
      <c r="BD31" s="103" t="str">
        <f t="shared" ca="1" si="23"/>
        <v/>
      </c>
      <c r="BE31" s="103" t="str">
        <f t="shared" ca="1" si="23"/>
        <v/>
      </c>
      <c r="BF31" s="103" t="str">
        <f t="shared" ca="1" si="23"/>
        <v/>
      </c>
      <c r="BG31" s="103" t="str">
        <f t="shared" ca="1" si="24"/>
        <v/>
      </c>
      <c r="BH31" s="103" t="str">
        <f t="shared" ca="1" si="24"/>
        <v/>
      </c>
      <c r="BI31" s="103" t="str">
        <f t="shared" ca="1" si="24"/>
        <v/>
      </c>
      <c r="BJ31" s="103" t="str">
        <f t="shared" ca="1" si="24"/>
        <v/>
      </c>
      <c r="BK31" s="103" t="str">
        <f t="shared" ca="1" si="24"/>
        <v/>
      </c>
      <c r="BL31" s="103" t="str">
        <f t="shared" ca="1" si="24"/>
        <v/>
      </c>
      <c r="BM31" s="103" t="str">
        <f t="shared" ca="1" si="24"/>
        <v/>
      </c>
      <c r="BN31" s="103" t="str">
        <f t="shared" ca="1" si="24"/>
        <v/>
      </c>
      <c r="BO31" s="103" t="str">
        <f t="shared" ca="1" si="24"/>
        <v/>
      </c>
      <c r="BP31" s="103" t="str">
        <f t="shared" ca="1" si="24"/>
        <v/>
      </c>
    </row>
    <row r="32" spans="1:68" s="104" customFormat="1" ht="40.25" hidden="1" customHeight="1" outlineLevel="1" x14ac:dyDescent="0.2">
      <c r="A32" s="21"/>
      <c r="B32" s="95" t="s">
        <v>134</v>
      </c>
      <c r="C32" s="82" t="s">
        <v>43</v>
      </c>
      <c r="D32" s="96" t="s">
        <v>78</v>
      </c>
      <c r="E32" s="96"/>
      <c r="F32" s="96" t="s">
        <v>145</v>
      </c>
      <c r="G32" s="96"/>
      <c r="H32" s="136" t="b">
        <v>0</v>
      </c>
      <c r="I32" s="84">
        <v>46128</v>
      </c>
      <c r="J32" s="84"/>
      <c r="K32" s="85">
        <v>1</v>
      </c>
      <c r="L32" s="97"/>
      <c r="M32" s="98" t="str">
        <f t="shared" ca="1" si="22"/>
        <v/>
      </c>
      <c r="N32" s="98" t="str">
        <f t="shared" ca="1" si="22"/>
        <v/>
      </c>
      <c r="O32" s="98" t="str">
        <f t="shared" ca="1" si="22"/>
        <v/>
      </c>
      <c r="P32" s="98" t="str">
        <f t="shared" ca="1" si="22"/>
        <v/>
      </c>
      <c r="Q32" s="98" t="str">
        <f t="shared" ca="1" si="22"/>
        <v/>
      </c>
      <c r="R32" s="98" t="str">
        <f t="shared" ca="1" si="22"/>
        <v/>
      </c>
      <c r="S32" s="99" t="str">
        <f t="shared" ca="1" si="22"/>
        <v/>
      </c>
      <c r="T32" s="100"/>
      <c r="U32" s="98"/>
      <c r="V32" s="98"/>
      <c r="W32" s="98"/>
      <c r="X32" s="101"/>
      <c r="Y32" s="102"/>
      <c r="Z32" s="99"/>
      <c r="AA32" s="100"/>
      <c r="AB32" s="98"/>
      <c r="AC32" s="98"/>
      <c r="AD32" s="98"/>
      <c r="AE32" s="101"/>
      <c r="AF32" s="102"/>
      <c r="AG32" s="99"/>
      <c r="AH32" s="100"/>
      <c r="AI32" s="98"/>
      <c r="AJ32" s="98"/>
      <c r="AK32" s="98"/>
      <c r="AL32" s="101"/>
      <c r="AM32" s="102"/>
      <c r="AN32" s="99"/>
      <c r="AO32" s="100"/>
      <c r="AP32" s="98"/>
      <c r="AQ32" s="98"/>
      <c r="AR32" s="98"/>
      <c r="AS32" s="101"/>
      <c r="AT32" s="102"/>
      <c r="AU32" s="98" t="str">
        <f t="shared" ca="1" si="25"/>
        <v/>
      </c>
      <c r="AV32" s="98" t="str">
        <f t="shared" ca="1" si="25"/>
        <v/>
      </c>
      <c r="AW32" s="103" t="str">
        <f t="shared" ca="1" si="23"/>
        <v/>
      </c>
      <c r="AX32" s="103" t="str">
        <f t="shared" ca="1" si="23"/>
        <v/>
      </c>
      <c r="AY32" s="103" t="str">
        <f t="shared" ca="1" si="23"/>
        <v/>
      </c>
      <c r="AZ32" s="103" t="str">
        <f t="shared" ca="1" si="23"/>
        <v/>
      </c>
      <c r="BA32" s="103" t="str">
        <f t="shared" ca="1" si="23"/>
        <v/>
      </c>
      <c r="BB32" s="103" t="str">
        <f t="shared" ca="1" si="23"/>
        <v/>
      </c>
      <c r="BC32" s="103" t="str">
        <f t="shared" ca="1" si="23"/>
        <v/>
      </c>
      <c r="BD32" s="103" t="str">
        <f t="shared" ca="1" si="23"/>
        <v/>
      </c>
      <c r="BE32" s="103" t="str">
        <f t="shared" ca="1" si="23"/>
        <v/>
      </c>
      <c r="BF32" s="103" t="str">
        <f t="shared" ca="1" si="23"/>
        <v/>
      </c>
      <c r="BG32" s="103" t="str">
        <f t="shared" ca="1" si="24"/>
        <v/>
      </c>
      <c r="BH32" s="103" t="str">
        <f t="shared" ca="1" si="24"/>
        <v/>
      </c>
      <c r="BI32" s="103" t="str">
        <f t="shared" ca="1" si="24"/>
        <v/>
      </c>
      <c r="BJ32" s="103" t="str">
        <f t="shared" ca="1" si="24"/>
        <v/>
      </c>
      <c r="BK32" s="103" t="str">
        <f t="shared" ca="1" si="24"/>
        <v/>
      </c>
      <c r="BL32" s="103" t="str">
        <f t="shared" ca="1" si="24"/>
        <v/>
      </c>
      <c r="BM32" s="103" t="str">
        <f t="shared" ca="1" si="24"/>
        <v/>
      </c>
      <c r="BN32" s="103" t="str">
        <f t="shared" ca="1" si="24"/>
        <v/>
      </c>
      <c r="BO32" s="103" t="str">
        <f t="shared" ca="1" si="24"/>
        <v/>
      </c>
      <c r="BP32" s="103" t="str">
        <f t="shared" ca="1" si="24"/>
        <v/>
      </c>
    </row>
    <row r="33" spans="1:69" s="104" customFormat="1" ht="40.25" hidden="1" customHeight="1" outlineLevel="1" x14ac:dyDescent="0.2">
      <c r="A33" s="18"/>
      <c r="B33" s="95" t="s">
        <v>135</v>
      </c>
      <c r="C33" s="82" t="s">
        <v>43</v>
      </c>
      <c r="D33" s="96" t="s">
        <v>78</v>
      </c>
      <c r="E33" s="96"/>
      <c r="F33" s="96" t="s">
        <v>145</v>
      </c>
      <c r="G33" s="96"/>
      <c r="H33" s="136" t="b">
        <v>0</v>
      </c>
      <c r="I33" s="84">
        <v>46129</v>
      </c>
      <c r="J33" s="84"/>
      <c r="K33" s="85">
        <v>1</v>
      </c>
      <c r="L33" s="97"/>
      <c r="M33" s="98"/>
      <c r="N33" s="98"/>
      <c r="O33" s="98"/>
      <c r="P33" s="98"/>
      <c r="Q33" s="98"/>
      <c r="R33" s="98"/>
      <c r="S33" s="99"/>
      <c r="T33" s="100"/>
      <c r="U33" s="98"/>
      <c r="V33" s="98"/>
      <c r="W33" s="98"/>
      <c r="X33" s="101"/>
      <c r="Y33" s="102"/>
      <c r="Z33" s="99"/>
      <c r="AA33" s="100"/>
      <c r="AB33" s="98"/>
      <c r="AC33" s="98"/>
      <c r="AD33" s="98"/>
      <c r="AE33" s="101"/>
      <c r="AF33" s="102"/>
      <c r="AG33" s="99"/>
      <c r="AH33" s="100"/>
      <c r="AI33" s="98"/>
      <c r="AJ33" s="98"/>
      <c r="AK33" s="98"/>
      <c r="AL33" s="101"/>
      <c r="AM33" s="102"/>
      <c r="AN33" s="99"/>
      <c r="AO33" s="100"/>
      <c r="AP33" s="98"/>
      <c r="AQ33" s="98"/>
      <c r="AR33" s="98"/>
      <c r="AS33" s="101"/>
      <c r="AT33" s="102"/>
      <c r="AU33" s="98"/>
      <c r="AV33" s="98"/>
      <c r="AW33" s="103"/>
      <c r="AX33" s="103"/>
      <c r="AY33" s="103"/>
      <c r="AZ33" s="103"/>
      <c r="BA33" s="103"/>
      <c r="BB33" s="103"/>
      <c r="BC33" s="103"/>
      <c r="BD33" s="103"/>
      <c r="BE33" s="103"/>
      <c r="BF33" s="103"/>
      <c r="BG33" s="103"/>
      <c r="BH33" s="103"/>
      <c r="BI33" s="103"/>
      <c r="BJ33" s="103"/>
      <c r="BK33" s="103"/>
      <c r="BL33" s="103"/>
      <c r="BM33" s="103"/>
      <c r="BN33" s="103"/>
      <c r="BO33" s="103"/>
      <c r="BP33" s="103"/>
    </row>
    <row r="34" spans="1:69" s="104" customFormat="1" ht="40.25" hidden="1" customHeight="1" outlineLevel="1" x14ac:dyDescent="0.2">
      <c r="A34" s="18"/>
      <c r="B34" s="95" t="s">
        <v>141</v>
      </c>
      <c r="C34" s="82" t="s">
        <v>43</v>
      </c>
      <c r="D34" s="96" t="s">
        <v>78</v>
      </c>
      <c r="E34" s="96"/>
      <c r="F34" s="96" t="s">
        <v>146</v>
      </c>
      <c r="G34" s="96"/>
      <c r="H34" s="136" t="b">
        <v>0</v>
      </c>
      <c r="I34" s="84">
        <v>46132</v>
      </c>
      <c r="J34" s="84"/>
      <c r="K34" s="85">
        <v>1</v>
      </c>
      <c r="L34" s="97"/>
      <c r="M34" s="98"/>
      <c r="N34" s="98"/>
      <c r="O34" s="98"/>
      <c r="P34" s="98"/>
      <c r="Q34" s="98"/>
      <c r="R34" s="98"/>
      <c r="S34" s="99"/>
      <c r="T34" s="100"/>
      <c r="U34" s="98"/>
      <c r="V34" s="98"/>
      <c r="W34" s="98"/>
      <c r="X34" s="101"/>
      <c r="Y34" s="102"/>
      <c r="Z34" s="99"/>
      <c r="AA34" s="100"/>
      <c r="AB34" s="98"/>
      <c r="AC34" s="98"/>
      <c r="AD34" s="98"/>
      <c r="AE34" s="101"/>
      <c r="AF34" s="102"/>
      <c r="AG34" s="99"/>
      <c r="AH34" s="100"/>
      <c r="AI34" s="98"/>
      <c r="AJ34" s="98"/>
      <c r="AK34" s="98"/>
      <c r="AL34" s="101"/>
      <c r="AM34" s="102"/>
      <c r="AN34" s="99"/>
      <c r="AO34" s="100"/>
      <c r="AP34" s="98"/>
      <c r="AQ34" s="98"/>
      <c r="AR34" s="98"/>
      <c r="AS34" s="101"/>
      <c r="AT34" s="102"/>
      <c r="AU34" s="98"/>
      <c r="AV34" s="98"/>
      <c r="AW34" s="103"/>
      <c r="AX34" s="103"/>
      <c r="AY34" s="103"/>
      <c r="AZ34" s="103"/>
      <c r="BA34" s="103"/>
      <c r="BB34" s="103"/>
      <c r="BC34" s="103"/>
      <c r="BD34" s="103"/>
      <c r="BE34" s="103"/>
      <c r="BF34" s="103"/>
      <c r="BG34" s="103"/>
      <c r="BH34" s="103"/>
      <c r="BI34" s="103"/>
      <c r="BJ34" s="103"/>
      <c r="BK34" s="103"/>
      <c r="BL34" s="103"/>
      <c r="BM34" s="103"/>
      <c r="BN34" s="103"/>
      <c r="BO34" s="103"/>
      <c r="BP34" s="103"/>
    </row>
    <row r="35" spans="1:69" s="104" customFormat="1" ht="40.25" hidden="1" customHeight="1" outlineLevel="1" x14ac:dyDescent="0.2">
      <c r="A35" s="18"/>
      <c r="B35" s="95" t="s">
        <v>142</v>
      </c>
      <c r="C35" s="95" t="s">
        <v>43</v>
      </c>
      <c r="D35" s="96" t="s">
        <v>78</v>
      </c>
      <c r="E35" s="96"/>
      <c r="F35" s="96" t="s">
        <v>144</v>
      </c>
      <c r="G35" s="96"/>
      <c r="H35" s="136" t="b">
        <v>0</v>
      </c>
      <c r="I35" s="84">
        <v>46132</v>
      </c>
      <c r="J35" s="84"/>
      <c r="K35" s="85">
        <v>1</v>
      </c>
      <c r="L35" s="97"/>
      <c r="M35" s="98"/>
      <c r="N35" s="98"/>
      <c r="O35" s="98"/>
      <c r="P35" s="98"/>
      <c r="Q35" s="98"/>
      <c r="R35" s="98"/>
      <c r="S35" s="99"/>
      <c r="T35" s="100"/>
      <c r="U35" s="98"/>
      <c r="V35" s="98"/>
      <c r="W35" s="98"/>
      <c r="X35" s="101"/>
      <c r="Y35" s="102"/>
      <c r="Z35" s="99"/>
      <c r="AA35" s="100"/>
      <c r="AB35" s="98"/>
      <c r="AC35" s="98"/>
      <c r="AD35" s="98"/>
      <c r="AE35" s="101"/>
      <c r="AF35" s="102"/>
      <c r="AG35" s="99"/>
      <c r="AH35" s="100"/>
      <c r="AI35" s="98"/>
      <c r="AJ35" s="98"/>
      <c r="AK35" s="98"/>
      <c r="AL35" s="101"/>
      <c r="AM35" s="102"/>
      <c r="AN35" s="99"/>
      <c r="AO35" s="100"/>
      <c r="AP35" s="98"/>
      <c r="AQ35" s="98"/>
      <c r="AR35" s="98"/>
      <c r="AS35" s="101"/>
      <c r="AT35" s="102"/>
      <c r="AU35" s="98"/>
      <c r="AV35" s="98"/>
      <c r="AW35" s="103"/>
      <c r="AX35" s="103"/>
      <c r="AY35" s="103"/>
      <c r="AZ35" s="103"/>
      <c r="BA35" s="103"/>
      <c r="BB35" s="103"/>
      <c r="BC35" s="103"/>
      <c r="BD35" s="103"/>
      <c r="BE35" s="103"/>
      <c r="BF35" s="103"/>
      <c r="BG35" s="103"/>
      <c r="BH35" s="103"/>
      <c r="BI35" s="103"/>
      <c r="BJ35" s="103"/>
      <c r="BK35" s="103"/>
      <c r="BL35" s="103"/>
      <c r="BM35" s="103"/>
      <c r="BN35" s="103"/>
      <c r="BO35" s="103"/>
      <c r="BP35" s="103"/>
    </row>
    <row r="36" spans="1:69" s="104" customFormat="1" ht="40.25" hidden="1" customHeight="1" outlineLevel="1" x14ac:dyDescent="0.2">
      <c r="A36" s="18"/>
      <c r="B36" s="95" t="s">
        <v>143</v>
      </c>
      <c r="C36" s="82" t="s">
        <v>43</v>
      </c>
      <c r="D36" s="96" t="s">
        <v>78</v>
      </c>
      <c r="E36" s="96"/>
      <c r="F36" s="96" t="s">
        <v>145</v>
      </c>
      <c r="G36" s="96"/>
      <c r="H36" s="136" t="b">
        <v>0</v>
      </c>
      <c r="I36" s="84">
        <v>46133</v>
      </c>
      <c r="J36" s="84"/>
      <c r="K36" s="85">
        <v>3</v>
      </c>
      <c r="L36" s="97"/>
      <c r="M36" s="98"/>
      <c r="N36" s="98"/>
      <c r="O36" s="98"/>
      <c r="P36" s="98"/>
      <c r="Q36" s="98"/>
      <c r="R36" s="98"/>
      <c r="S36" s="99"/>
      <c r="T36" s="100"/>
      <c r="U36" s="98"/>
      <c r="V36" s="98"/>
      <c r="W36" s="98"/>
      <c r="X36" s="101"/>
      <c r="Y36" s="102"/>
      <c r="Z36" s="99"/>
      <c r="AA36" s="100"/>
      <c r="AB36" s="98"/>
      <c r="AC36" s="98"/>
      <c r="AD36" s="98"/>
      <c r="AE36" s="101"/>
      <c r="AF36" s="102"/>
      <c r="AG36" s="99"/>
      <c r="AH36" s="100"/>
      <c r="AI36" s="98"/>
      <c r="AJ36" s="98"/>
      <c r="AK36" s="98"/>
      <c r="AL36" s="101"/>
      <c r="AM36" s="102"/>
      <c r="AN36" s="99"/>
      <c r="AO36" s="100"/>
      <c r="AP36" s="98"/>
      <c r="AQ36" s="98"/>
      <c r="AR36" s="98"/>
      <c r="AS36" s="101"/>
      <c r="AT36" s="102"/>
      <c r="AU36" s="98"/>
      <c r="AV36" s="98"/>
      <c r="AW36" s="103"/>
      <c r="AX36" s="103"/>
      <c r="AY36" s="103"/>
      <c r="AZ36" s="103"/>
      <c r="BA36" s="103"/>
      <c r="BB36" s="103"/>
      <c r="BC36" s="103"/>
      <c r="BD36" s="103"/>
      <c r="BE36" s="103"/>
      <c r="BF36" s="103"/>
      <c r="BG36" s="103"/>
      <c r="BH36" s="103"/>
      <c r="BI36" s="103"/>
      <c r="BJ36" s="103"/>
      <c r="BK36" s="103"/>
      <c r="BL36" s="103"/>
      <c r="BM36" s="103"/>
      <c r="BN36" s="103"/>
      <c r="BO36" s="103"/>
      <c r="BP36" s="103"/>
    </row>
    <row r="37" spans="1:69" s="104" customFormat="1" ht="40.25" hidden="1" customHeight="1" outlineLevel="1" x14ac:dyDescent="0.2">
      <c r="A37" s="18"/>
      <c r="B37" s="116" t="s">
        <v>93</v>
      </c>
      <c r="C37" s="116"/>
      <c r="D37" s="117" t="s">
        <v>78</v>
      </c>
      <c r="E37" s="97"/>
      <c r="F37" s="97"/>
      <c r="G37" s="117"/>
      <c r="H37" s="35"/>
      <c r="I37" s="119">
        <v>46156</v>
      </c>
      <c r="J37" s="119"/>
      <c r="K37" s="121">
        <v>1</v>
      </c>
      <c r="L37" s="97"/>
      <c r="M37" s="98"/>
      <c r="N37" s="98"/>
      <c r="O37" s="98"/>
      <c r="P37" s="98"/>
      <c r="Q37" s="98"/>
      <c r="R37" s="98"/>
      <c r="S37" s="99"/>
      <c r="T37" s="100"/>
      <c r="U37" s="98"/>
      <c r="V37" s="98"/>
      <c r="W37" s="98"/>
      <c r="X37" s="101"/>
      <c r="Y37" s="102"/>
      <c r="Z37" s="99"/>
      <c r="AA37" s="100"/>
      <c r="AB37" s="98"/>
      <c r="AC37" s="98"/>
      <c r="AD37" s="98"/>
      <c r="AE37" s="101"/>
      <c r="AF37" s="102"/>
      <c r="AG37" s="99"/>
      <c r="AH37" s="100"/>
      <c r="AI37" s="98"/>
      <c r="AJ37" s="98"/>
      <c r="AK37" s="98"/>
      <c r="AL37" s="101"/>
      <c r="AM37" s="102"/>
      <c r="AN37" s="99"/>
      <c r="AO37" s="100"/>
      <c r="AP37" s="98"/>
      <c r="AQ37" s="98"/>
      <c r="AR37" s="98"/>
      <c r="AS37" s="101"/>
      <c r="AT37" s="102"/>
      <c r="AU37" s="98"/>
      <c r="AV37" s="98"/>
      <c r="AW37" s="103"/>
      <c r="AX37" s="103"/>
      <c r="AY37" s="103"/>
      <c r="AZ37" s="103"/>
      <c r="BA37" s="103"/>
      <c r="BB37" s="103"/>
      <c r="BC37" s="103"/>
      <c r="BD37" s="103"/>
      <c r="BE37" s="103"/>
      <c r="BF37" s="103"/>
      <c r="BG37" s="103"/>
      <c r="BH37" s="103"/>
      <c r="BI37" s="103"/>
      <c r="BJ37" s="103"/>
      <c r="BK37" s="103"/>
      <c r="BL37" s="103"/>
      <c r="BM37" s="103"/>
      <c r="BN37" s="103"/>
      <c r="BO37" s="103"/>
      <c r="BP37" s="103"/>
    </row>
    <row r="38" spans="1:69" s="104" customFormat="1" ht="40.25" hidden="1" customHeight="1" outlineLevel="1" x14ac:dyDescent="0.2">
      <c r="A38" s="18"/>
      <c r="B38" s="116" t="s">
        <v>94</v>
      </c>
      <c r="C38" s="116"/>
      <c r="D38" s="117" t="s">
        <v>78</v>
      </c>
      <c r="E38" s="122"/>
      <c r="F38" s="122"/>
      <c r="G38" s="117"/>
      <c r="H38"/>
      <c r="I38" s="119">
        <v>46156</v>
      </c>
      <c r="J38" s="119"/>
      <c r="K38" s="121">
        <v>1</v>
      </c>
      <c r="L38" s="97"/>
      <c r="M38" s="98"/>
      <c r="N38" s="98"/>
      <c r="O38" s="98"/>
      <c r="P38" s="98"/>
      <c r="Q38" s="98"/>
      <c r="R38" s="98"/>
      <c r="S38" s="99"/>
      <c r="T38" s="100"/>
      <c r="U38" s="98"/>
      <c r="V38" s="98"/>
      <c r="W38" s="98"/>
      <c r="X38" s="101"/>
      <c r="Y38" s="102"/>
      <c r="Z38" s="99"/>
      <c r="AA38" s="100"/>
      <c r="AB38" s="98"/>
      <c r="AC38" s="98"/>
      <c r="AD38" s="98"/>
      <c r="AE38" s="101"/>
      <c r="AF38" s="102"/>
      <c r="AG38" s="99"/>
      <c r="AH38" s="100"/>
      <c r="AI38" s="98"/>
      <c r="AJ38" s="98"/>
      <c r="AK38" s="98"/>
      <c r="AL38" s="101"/>
      <c r="AM38" s="102"/>
      <c r="AN38" s="99"/>
      <c r="AO38" s="100"/>
      <c r="AP38" s="98"/>
      <c r="AQ38" s="98"/>
      <c r="AR38" s="98"/>
      <c r="AS38" s="101"/>
      <c r="AT38" s="102"/>
      <c r="AU38" s="98"/>
      <c r="AV38" s="98"/>
      <c r="AW38" s="103"/>
      <c r="AX38" s="103"/>
      <c r="AY38" s="103"/>
      <c r="AZ38" s="103"/>
      <c r="BA38" s="103"/>
      <c r="BB38" s="103"/>
      <c r="BC38" s="103"/>
      <c r="BD38" s="103"/>
      <c r="BE38" s="103"/>
      <c r="BF38" s="103"/>
      <c r="BG38" s="103"/>
      <c r="BH38" s="103"/>
      <c r="BI38" s="103"/>
      <c r="BJ38" s="103"/>
      <c r="BK38" s="103"/>
      <c r="BL38" s="103"/>
      <c r="BM38" s="103"/>
      <c r="BN38" s="103"/>
      <c r="BO38" s="103"/>
      <c r="BP38" s="103"/>
    </row>
    <row r="39" spans="1:69" s="104" customFormat="1" ht="40.25" hidden="1" customHeight="1" outlineLevel="1" x14ac:dyDescent="0.2">
      <c r="A39" s="18"/>
      <c r="B39" s="116" t="s">
        <v>95</v>
      </c>
      <c r="C39" s="116"/>
      <c r="D39" s="117" t="s">
        <v>78</v>
      </c>
      <c r="E39" s="123"/>
      <c r="F39" s="123"/>
      <c r="G39" s="124"/>
      <c r="H39"/>
      <c r="I39" s="125">
        <v>46157</v>
      </c>
      <c r="J39" s="125"/>
      <c r="K39">
        <v>1</v>
      </c>
      <c r="L39" s="97"/>
      <c r="M39" s="98"/>
      <c r="N39" s="98"/>
      <c r="O39" s="98"/>
      <c r="P39" s="98"/>
      <c r="Q39" s="98"/>
      <c r="R39" s="98"/>
      <c r="S39" s="99"/>
      <c r="T39" s="100"/>
      <c r="U39" s="98"/>
      <c r="V39" s="98"/>
      <c r="W39" s="98"/>
      <c r="X39" s="101"/>
      <c r="Y39" s="102"/>
      <c r="Z39" s="99"/>
      <c r="AA39" s="100"/>
      <c r="AB39" s="98"/>
      <c r="AC39" s="98"/>
      <c r="AD39" s="98"/>
      <c r="AE39" s="101"/>
      <c r="AF39" s="102"/>
      <c r="AG39" s="99"/>
      <c r="AH39" s="100"/>
      <c r="AI39" s="98"/>
      <c r="AJ39" s="98"/>
      <c r="AK39" s="98"/>
      <c r="AL39" s="101"/>
      <c r="AM39" s="102"/>
      <c r="AN39" s="99"/>
      <c r="AO39" s="100"/>
      <c r="AP39" s="98"/>
      <c r="AQ39" s="98"/>
      <c r="AR39" s="98"/>
      <c r="AS39" s="101"/>
      <c r="AT39" s="102"/>
      <c r="AU39" s="98"/>
      <c r="AV39" s="98"/>
      <c r="AW39" s="103"/>
      <c r="AX39" s="103"/>
      <c r="AY39" s="103"/>
      <c r="AZ39" s="103"/>
      <c r="BA39" s="103"/>
      <c r="BB39" s="103"/>
      <c r="BC39" s="103"/>
      <c r="BD39" s="103"/>
      <c r="BE39" s="103"/>
      <c r="BF39" s="103"/>
      <c r="BG39" s="103"/>
      <c r="BH39" s="103"/>
      <c r="BI39" s="103"/>
      <c r="BJ39" s="103"/>
      <c r="BK39" s="103"/>
      <c r="BL39" s="103"/>
      <c r="BM39" s="103"/>
      <c r="BN39" s="103"/>
      <c r="BO39" s="103"/>
      <c r="BP39" s="103"/>
    </row>
    <row r="40" spans="1:69" s="104" customFormat="1" ht="40.25" hidden="1" customHeight="1" outlineLevel="1" x14ac:dyDescent="0.2">
      <c r="A40" s="18"/>
      <c r="B40" s="116" t="s">
        <v>96</v>
      </c>
      <c r="C40" s="116"/>
      <c r="D40" s="117" t="s">
        <v>78</v>
      </c>
      <c r="E40" s="3"/>
      <c r="F40" s="3"/>
      <c r="G40" s="117"/>
      <c r="H40"/>
      <c r="I40" s="125">
        <v>46160</v>
      </c>
      <c r="J40" s="125"/>
      <c r="K40" s="120">
        <v>3</v>
      </c>
      <c r="L40" s="97"/>
      <c r="M40" s="98"/>
      <c r="N40" s="98"/>
      <c r="O40" s="98"/>
      <c r="P40" s="98"/>
      <c r="Q40" s="98"/>
      <c r="R40" s="98"/>
      <c r="S40" s="99"/>
      <c r="T40" s="100"/>
      <c r="U40" s="98"/>
      <c r="V40" s="98"/>
      <c r="W40" s="98"/>
      <c r="X40" s="101"/>
      <c r="Y40" s="102"/>
      <c r="Z40" s="99"/>
      <c r="AA40" s="100"/>
      <c r="AB40" s="98"/>
      <c r="AC40" s="98"/>
      <c r="AD40" s="98"/>
      <c r="AE40" s="101"/>
      <c r="AF40" s="102"/>
      <c r="AG40" s="99"/>
      <c r="AH40" s="100"/>
      <c r="AI40" s="98"/>
      <c r="AJ40" s="98"/>
      <c r="AK40" s="98"/>
      <c r="AL40" s="101"/>
      <c r="AM40" s="102"/>
      <c r="AN40" s="99"/>
      <c r="AO40" s="100"/>
      <c r="AP40" s="98"/>
      <c r="AQ40" s="98"/>
      <c r="AR40" s="98"/>
      <c r="AS40" s="101"/>
      <c r="AT40" s="102"/>
      <c r="AU40" s="98"/>
      <c r="AV40" s="98"/>
      <c r="AW40" s="103"/>
      <c r="AX40" s="103"/>
      <c r="AY40" s="103"/>
      <c r="AZ40" s="103"/>
      <c r="BA40" s="103"/>
      <c r="BB40" s="103"/>
      <c r="BC40" s="103"/>
      <c r="BD40" s="103"/>
      <c r="BE40" s="103"/>
      <c r="BF40" s="103"/>
      <c r="BG40" s="103"/>
      <c r="BH40" s="103"/>
      <c r="BI40" s="103"/>
      <c r="BJ40" s="103"/>
      <c r="BK40" s="103"/>
      <c r="BL40" s="103"/>
      <c r="BM40" s="103"/>
      <c r="BN40" s="103"/>
      <c r="BO40" s="103"/>
      <c r="BP40" s="103"/>
    </row>
    <row r="41" spans="1:69" s="104" customFormat="1" ht="40.25" hidden="1" customHeight="1" outlineLevel="1" x14ac:dyDescent="0.2">
      <c r="A41" s="18"/>
      <c r="B41" s="116" t="s">
        <v>97</v>
      </c>
      <c r="C41" s="116"/>
      <c r="D41" s="117" t="s">
        <v>78</v>
      </c>
      <c r="E41" s="97"/>
      <c r="F41" s="97"/>
      <c r="G41" s="117"/>
      <c r="H41" s="118"/>
      <c r="I41" s="119">
        <v>46163</v>
      </c>
      <c r="J41" s="119"/>
      <c r="K41" s="120">
        <v>1</v>
      </c>
      <c r="L41" s="97"/>
      <c r="M41" s="98"/>
      <c r="N41" s="98"/>
      <c r="O41" s="98"/>
      <c r="P41" s="98"/>
      <c r="Q41" s="98"/>
      <c r="R41" s="98"/>
      <c r="S41" s="99"/>
      <c r="T41" s="100"/>
      <c r="U41" s="98"/>
      <c r="V41" s="98"/>
      <c r="W41" s="98"/>
      <c r="X41" s="101"/>
      <c r="Y41" s="102"/>
      <c r="Z41" s="99"/>
      <c r="AA41" s="100"/>
      <c r="AB41" s="98"/>
      <c r="AC41" s="98"/>
      <c r="AD41" s="98"/>
      <c r="AE41" s="101"/>
      <c r="AF41" s="102"/>
      <c r="AG41" s="99"/>
      <c r="AH41" s="100"/>
      <c r="AI41" s="98"/>
      <c r="AJ41" s="98"/>
      <c r="AK41" s="98"/>
      <c r="AL41" s="101"/>
      <c r="AM41" s="102"/>
      <c r="AN41" s="99"/>
      <c r="AO41" s="100"/>
      <c r="AP41" s="98"/>
      <c r="AQ41" s="98"/>
      <c r="AR41" s="98"/>
      <c r="AS41" s="101"/>
      <c r="AT41" s="102"/>
      <c r="AU41" s="98"/>
      <c r="AV41" s="98"/>
      <c r="AW41" s="103"/>
      <c r="AX41" s="103"/>
      <c r="AY41" s="103"/>
      <c r="AZ41" s="103"/>
      <c r="BA41" s="103"/>
      <c r="BB41" s="103"/>
      <c r="BC41" s="103"/>
      <c r="BD41" s="103"/>
      <c r="BE41" s="103"/>
      <c r="BF41" s="103"/>
      <c r="BG41" s="103"/>
      <c r="BH41" s="103"/>
      <c r="BI41" s="103"/>
      <c r="BJ41" s="103"/>
      <c r="BK41" s="103"/>
      <c r="BL41" s="103"/>
      <c r="BM41" s="103"/>
      <c r="BN41" s="103"/>
      <c r="BO41" s="103"/>
      <c r="BP41" s="103"/>
    </row>
    <row r="42" spans="1:69" s="104" customFormat="1" ht="40.25" hidden="1" customHeight="1" outlineLevel="1" x14ac:dyDescent="0.2">
      <c r="A42" s="18"/>
      <c r="B42" s="116"/>
      <c r="C42" s="116"/>
      <c r="D42" s="117"/>
      <c r="E42" s="3"/>
      <c r="F42" s="3"/>
      <c r="G42" s="117"/>
      <c r="H42"/>
      <c r="I42" s="125"/>
      <c r="J42" s="125"/>
      <c r="K42"/>
      <c r="L42" s="97"/>
      <c r="M42" s="98"/>
      <c r="N42" s="98"/>
      <c r="O42" s="98"/>
      <c r="P42" s="98"/>
      <c r="Q42" s="98"/>
      <c r="R42" s="98"/>
      <c r="S42" s="99"/>
      <c r="T42" s="100"/>
      <c r="U42" s="98"/>
      <c r="V42" s="98"/>
      <c r="W42" s="98"/>
      <c r="X42" s="101"/>
      <c r="Y42" s="102"/>
      <c r="Z42" s="99"/>
      <c r="AA42" s="100"/>
      <c r="AB42" s="98"/>
      <c r="AC42" s="98"/>
      <c r="AD42" s="98"/>
      <c r="AE42" s="101"/>
      <c r="AF42" s="102"/>
      <c r="AG42" s="99"/>
      <c r="AH42" s="100"/>
      <c r="AI42" s="98"/>
      <c r="AJ42" s="98"/>
      <c r="AK42" s="98"/>
      <c r="AL42" s="101"/>
      <c r="AM42" s="102"/>
      <c r="AN42" s="99"/>
      <c r="AO42" s="100"/>
      <c r="AP42" s="98"/>
      <c r="AQ42" s="98"/>
      <c r="AR42" s="98"/>
      <c r="AS42" s="101"/>
      <c r="AT42" s="102"/>
      <c r="AU42" s="98"/>
      <c r="AV42" s="98"/>
      <c r="AW42" s="103"/>
      <c r="AX42" s="103"/>
      <c r="AY42" s="103"/>
      <c r="AZ42" s="103"/>
      <c r="BA42" s="103"/>
      <c r="BB42" s="103"/>
      <c r="BC42" s="103"/>
      <c r="BD42" s="103"/>
      <c r="BE42" s="103"/>
      <c r="BF42" s="103"/>
      <c r="BG42" s="103"/>
      <c r="BH42" s="103"/>
      <c r="BI42" s="103"/>
      <c r="BJ42" s="103"/>
      <c r="BK42" s="103"/>
      <c r="BL42" s="103"/>
      <c r="BM42" s="103"/>
      <c r="BN42" s="103"/>
      <c r="BO42" s="103"/>
      <c r="BP42" s="103"/>
    </row>
    <row r="43" spans="1:69" s="104" customFormat="1" ht="40.25" customHeight="1" x14ac:dyDescent="0.2">
      <c r="A43" s="18"/>
      <c r="B43" s="116"/>
      <c r="C43" s="116"/>
      <c r="D43" s="117"/>
      <c r="E43" s="3"/>
      <c r="F43" s="3"/>
      <c r="G43" s="117"/>
      <c r="H43"/>
      <c r="I43" s="125"/>
      <c r="J43" s="125"/>
      <c r="K43"/>
      <c r="L43" s="97"/>
      <c r="M43" s="98"/>
      <c r="N43" s="98"/>
      <c r="O43" s="98"/>
      <c r="P43" s="98"/>
      <c r="Q43" s="98"/>
      <c r="R43" s="98"/>
      <c r="S43" s="99"/>
      <c r="T43" s="126"/>
      <c r="U43" s="127"/>
      <c r="V43" s="127"/>
      <c r="W43" s="127"/>
      <c r="X43" s="128"/>
      <c r="Y43" s="102"/>
      <c r="Z43" s="99"/>
      <c r="AA43" s="126"/>
      <c r="AB43" s="127"/>
      <c r="AC43" s="127"/>
      <c r="AD43" s="127"/>
      <c r="AE43" s="128"/>
      <c r="AF43" s="102"/>
      <c r="AG43" s="99"/>
      <c r="AH43" s="126"/>
      <c r="AI43" s="127"/>
      <c r="AJ43" s="127"/>
      <c r="AK43" s="127"/>
      <c r="AL43" s="128"/>
      <c r="AM43" s="102"/>
      <c r="AN43" s="99"/>
      <c r="AO43" s="126"/>
      <c r="AP43" s="127"/>
      <c r="AQ43" s="127"/>
      <c r="AR43" s="127"/>
      <c r="AS43" s="128"/>
      <c r="AT43" s="102"/>
      <c r="AU43" s="98"/>
      <c r="AV43" s="98"/>
      <c r="AW43" s="103"/>
      <c r="AX43" s="103"/>
      <c r="AY43" s="103"/>
      <c r="AZ43" s="103"/>
      <c r="BA43" s="103"/>
      <c r="BB43" s="103"/>
      <c r="BC43" s="103"/>
      <c r="BD43" s="103"/>
      <c r="BE43" s="103"/>
      <c r="BF43" s="103"/>
      <c r="BG43" s="103"/>
      <c r="BH43" s="103"/>
      <c r="BI43" s="103"/>
      <c r="BJ43" s="103"/>
      <c r="BK43" s="103"/>
      <c r="BL43" s="103"/>
      <c r="BM43" s="103"/>
      <c r="BN43" s="103"/>
      <c r="BO43" s="103"/>
      <c r="BP43" s="103"/>
      <c r="BQ43" s="129"/>
    </row>
    <row r="44" spans="1:69" s="104" customFormat="1" ht="40.25" customHeight="1" x14ac:dyDescent="0.2">
      <c r="A44" s="21"/>
      <c r="B44" s="130"/>
      <c r="C44" s="130"/>
      <c r="D44" s="117"/>
      <c r="E44" s="3"/>
      <c r="F44" s="3"/>
      <c r="G44" s="117"/>
      <c r="I44" s="125"/>
      <c r="J44" s="125"/>
      <c r="L44" s="97"/>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3"/>
      <c r="AX44" s="3"/>
      <c r="AY44" s="3"/>
      <c r="AZ44" s="3"/>
      <c r="BA44" s="3"/>
      <c r="BB44" s="3"/>
      <c r="BC44" s="3"/>
      <c r="BD44" s="3"/>
      <c r="BE44" s="3"/>
      <c r="BF44" s="3"/>
      <c r="BG44" s="3"/>
      <c r="BH44" s="3"/>
      <c r="BI44" s="3"/>
      <c r="BJ44" s="3"/>
      <c r="BK44" s="3"/>
      <c r="BL44" s="3"/>
      <c r="BM44" s="3"/>
      <c r="BN44" s="3"/>
      <c r="BO44" s="3"/>
      <c r="BP44" s="3"/>
    </row>
    <row r="45" spans="1:69" ht="30" customHeight="1" x14ac:dyDescent="0.25">
      <c r="B45" s="130"/>
      <c r="C45" s="130"/>
      <c r="D45" s="117"/>
      <c r="E45" s="3"/>
      <c r="F45" s="3"/>
      <c r="G45" s="117"/>
      <c r="I45" s="125"/>
      <c r="J45" s="125"/>
      <c r="L45" s="132"/>
    </row>
    <row r="46" spans="1:69" ht="30" customHeight="1" x14ac:dyDescent="0.25">
      <c r="B46" s="130"/>
      <c r="C46" s="130"/>
      <c r="D46" s="117"/>
      <c r="E46" s="3"/>
      <c r="F46" s="3"/>
      <c r="G46" s="117"/>
      <c r="I46" s="125"/>
      <c r="J46" s="125"/>
    </row>
    <row r="47" spans="1:69" ht="30" customHeight="1" x14ac:dyDescent="0.25">
      <c r="B47" s="130"/>
      <c r="C47" s="130"/>
      <c r="D47" s="117"/>
      <c r="E47" s="3"/>
      <c r="F47" s="3"/>
      <c r="G47" s="117"/>
      <c r="I47" s="125"/>
      <c r="J47" s="125"/>
    </row>
    <row r="48" spans="1:69" ht="30" customHeight="1" x14ac:dyDescent="0.25">
      <c r="B48" s="130"/>
      <c r="C48" s="130"/>
      <c r="D48" s="117"/>
      <c r="E48" s="3"/>
      <c r="F48" s="3"/>
      <c r="G48" s="117"/>
      <c r="I48" s="125"/>
      <c r="J48" s="125"/>
    </row>
  </sheetData>
  <mergeCells count="8">
    <mergeCell ref="AB4:AE4"/>
    <mergeCell ref="AG4:AJ4"/>
    <mergeCell ref="B2:L2"/>
    <mergeCell ref="M2:R2"/>
    <mergeCell ref="S2:X2"/>
    <mergeCell ref="M4:P4"/>
    <mergeCell ref="R4:U4"/>
    <mergeCell ref="W4:Z4"/>
  </mergeCells>
  <phoneticPr fontId="35" type="noConversion"/>
  <conditionalFormatting sqref="H10:H43">
    <cfRule type="dataBar" priority="14">
      <dataBar>
        <cfvo type="num" val="0"/>
        <cfvo type="num" val="1"/>
        <color theme="9" tint="0.59999389629810485"/>
      </dataBar>
      <extLst>
        <ext xmlns:x14="http://schemas.microsoft.com/office/spreadsheetml/2009/9/main" uri="{B025F937-C7B1-47D3-B67F-A62EFF666E3E}">
          <x14:id>{8904B0EB-5DB2-41B8-8483-66DBD796B736}</x14:id>
        </ext>
      </extLst>
    </cfRule>
  </conditionalFormatting>
  <conditionalFormatting sqref="M6:AQ6">
    <cfRule type="expression" dxfId="26" priority="13">
      <formula>M$7&lt;=EOMONTH($M$7,0)</formula>
    </cfRule>
  </conditionalFormatting>
  <conditionalFormatting sqref="M6:BP6">
    <cfRule type="expression" dxfId="25" priority="11">
      <formula>AND(M$7&lt;=EOMONTH($M$7,1),M$7&gt;EOMONTH($M$7,0))</formula>
    </cfRule>
  </conditionalFormatting>
  <conditionalFormatting sqref="M7:BP8 M9:Q9 V9:AE9 AJ9:AL9 AQ9:BP9 M10:BP44">
    <cfRule type="expression" dxfId="24" priority="10">
      <formula>AND(TODAY()&gt;=M$7,TODAY()&lt;N$7)</formula>
    </cfRule>
  </conditionalFormatting>
  <conditionalFormatting sqref="M11:BP32">
    <cfRule type="expression" dxfId="23" priority="35" stopIfTrue="1">
      <formula>AND($D11="Riesgo bajo",M$7&gt;=$I11,M$7&lt;=$I11+$K11-1)</formula>
    </cfRule>
    <cfRule type="expression" dxfId="22" priority="36" stopIfTrue="1">
      <formula>AND($D11="Riesgo alto",M$7&gt;=$I11,M$7&lt;=$I11+$K11-1)</formula>
    </cfRule>
    <cfRule type="expression" dxfId="21" priority="37" stopIfTrue="1">
      <formula>AND($D11="Según lo previsto",M$7&gt;=$I11,M$7&lt;=$I11+$K11-1)</formula>
    </cfRule>
    <cfRule type="expression" dxfId="20" priority="38" stopIfTrue="1">
      <formula>AND($D11="Riesgo medio",M$7&gt;=$I11,M$7&lt;=$I11+$K11-1)</formula>
    </cfRule>
    <cfRule type="expression" dxfId="19" priority="39" stopIfTrue="1">
      <formula>AND(LEN($D11)=0,M$7&gt;=$I11,M$7&lt;=$I11+$K11-1)</formula>
    </cfRule>
  </conditionalFormatting>
  <conditionalFormatting sqref="M33:BP41">
    <cfRule type="expression" dxfId="18" priority="47" stopIfTrue="1">
      <formula>AND(#REF!="Riesgo bajo",M$7&gt;=#REF!,M$7&lt;=#REF!+#REF!-1)</formula>
    </cfRule>
    <cfRule type="expression" dxfId="17" priority="51" stopIfTrue="1">
      <formula>AND(LEN(#REF!)=0,M$7&gt;=#REF!,M$7&lt;=#REF!+#REF!-1)</formula>
    </cfRule>
    <cfRule type="expression" dxfId="16" priority="50" stopIfTrue="1">
      <formula>AND(#REF!="Riesgo medio",M$7&gt;=#REF!,M$7&lt;=#REF!+#REF!-1)</formula>
    </cfRule>
    <cfRule type="expression" dxfId="15" priority="49" stopIfTrue="1">
      <formula>AND(#REF!="Según lo previsto",M$7&gt;=#REF!,M$7&lt;=#REF!+#REF!-1)</formula>
    </cfRule>
    <cfRule type="expression" dxfId="14" priority="48" stopIfTrue="1">
      <formula>AND(#REF!="Riesgo alto",M$7&gt;=#REF!,M$7&lt;=#REF!+#REF!-1)</formula>
    </cfRule>
    <cfRule type="expression" dxfId="13" priority="41" stopIfTrue="1">
      <formula>AND($D33="Riesgo bajo",M$7&gt;=$I33,M$7&lt;=$I33+$K33-1)</formula>
    </cfRule>
    <cfRule type="expression" dxfId="12" priority="42" stopIfTrue="1">
      <formula>AND($D33="Riesgo alto",M$7&gt;=$I33,M$7&lt;=$I33+$K33-1)</formula>
    </cfRule>
    <cfRule type="expression" dxfId="11" priority="43" stopIfTrue="1">
      <formula>AND($D33="Según lo previsto",M$7&gt;=$I33,M$7&lt;=$I33+$K33-1)</formula>
    </cfRule>
    <cfRule type="expression" dxfId="10" priority="44" stopIfTrue="1">
      <formula>AND($D33="Riesgo medio",M$7&gt;=$I33,M$7&lt;=$I33+$K33-1)</formula>
    </cfRule>
    <cfRule type="expression" dxfId="9" priority="45" stopIfTrue="1">
      <formula>AND(LEN($D33)=0,M$7&gt;=$I33,M$7&lt;=$I33+$K33-1)</formula>
    </cfRule>
  </conditionalFormatting>
  <conditionalFormatting sqref="M42:BP43">
    <cfRule type="expression" dxfId="8" priority="57" stopIfTrue="1">
      <formula>AND(LEN($D41)=0,M$7&gt;=$I41,M$7&lt;=$I41+$K41-1)</formula>
    </cfRule>
    <cfRule type="expression" dxfId="7" priority="53" stopIfTrue="1">
      <formula>AND($D41="Riesgo bajo",M$7&gt;=$I41,M$7&lt;=$I41+$K41-1)</formula>
    </cfRule>
    <cfRule type="expression" dxfId="6" priority="54" stopIfTrue="1">
      <formula>AND($D41="Riesgo alto",M$7&gt;=$I41,M$7&lt;=$I41+$K41-1)</formula>
    </cfRule>
    <cfRule type="expression" dxfId="5" priority="55" stopIfTrue="1">
      <formula>AND($D41="Según lo previsto",M$7&gt;=$I41,M$7&lt;=$I41+$K41-1)</formula>
    </cfRule>
    <cfRule type="expression" dxfId="4" priority="56" stopIfTrue="1">
      <formula>AND($D41="Riesgo medio",M$7&gt;=$I41,M$7&lt;=$I41+$K41-1)</formula>
    </cfRule>
  </conditionalFormatting>
  <conditionalFormatting sqref="N6:BP6">
    <cfRule type="expression" dxfId="3" priority="12">
      <formula>AND(N$7&lt;=EOMONTH($M$7,2),N$7&gt;EOMONTH($M$7,0),N$7&gt;EOMONTH($M$7,1))</formula>
    </cfRule>
  </conditionalFormatting>
  <conditionalFormatting sqref="T9">
    <cfRule type="expression" dxfId="2" priority="3">
      <formula>AND(TODAY()&gt;=T$7,TODAY()&lt;U$7)</formula>
    </cfRule>
  </conditionalFormatting>
  <conditionalFormatting sqref="AH9">
    <cfRule type="expression" dxfId="1" priority="2">
      <formula>AND(TODAY()&gt;=AH$7,TODAY()&lt;AI$7)</formula>
    </cfRule>
  </conditionalFormatting>
  <conditionalFormatting sqref="AO9">
    <cfRule type="expression" dxfId="0" priority="1">
      <formula>AND(TODAY()&gt;=AO$7,TODAY()&lt;AP$7)</formula>
    </cfRule>
  </conditionalFormatting>
  <dataValidations count="13">
    <dataValidation type="list" allowBlank="1" showInputMessage="1" showErrorMessage="1" sqref="D12:D17 D19:D23 D25:D29 D31:D48" xr:uid="{7CFD633C-B18A-4439-9884-BD49AFB425B4}">
      <formula1>"Objetivo,Hito,Según lo previsto, Riesgo bajo, Riesgo medio, Riesgo alto"</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6BABA1AF-500C-4ADD-8406-A9C177850774}"/>
    <dataValidation allowBlank="1" showInputMessage="1" showErrorMessage="1" prompt="Escriba el nombre de la empresa en B4._x000a_Figura una leyenda entre las celdas I4 y AC4. La etiqueta de leyenda está en la celda G4." sqref="A4" xr:uid="{5FF0127A-BC37-48EA-8158-D3B2196DA7BC}"/>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1EF33396-B71A-4988-9639-86890A150CE0}"/>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39E3E6BD-5D03-491A-A2B0-E6EB21A45684}"/>
    <dataValidation allowBlank="1" showInputMessage="1" showErrorMessage="1" prompt="Las celdas I9 a BL9 contienen el día del mes representado en el bloque de celdas, encima de cada celda de fecha, y se calculan automáticamente._x000a_No modifique estas celdas._x000a_" sqref="A7" xr:uid="{634255D4-7C1E-4EC2-A583-D1B14B0C3C95}"/>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A9" xr:uid="{ACC10E9A-670B-489C-B080-911574F5DBDA}"/>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10" xr:uid="{A5A03B6F-951E-4D7B-A922-4FECD4A84EC4}"/>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A18 A24 A30" xr:uid="{0575FAAB-0BA6-445C-B512-A645CC2C2912}"/>
    <dataValidation allowBlank="1" showInputMessage="1" showErrorMessage="1" prompt="Esta fila marca el final de los datos del hito de Gantt. NO escriba nada en esta fila. _x000a_Para agregar más elementos, inserte las nuevas filas encima de esta._x000a_" sqref="A44" xr:uid="{7C92BA3F-D61E-471F-BD59-1A0689E7A9E1}"/>
    <dataValidation allowBlank="1" showInputMessage="1" showErrorMessage="1" prompt="Esta es una fila vacía" sqref="A43" xr:uid="{4717F1C3-E9B0-4837-AB94-ED3A23177F84}"/>
    <dataValidation type="whole" operator="greaterThanOrEqual" allowBlank="1" showInputMessage="1" promptTitle="Incremento de desplazamiento" prompt="Al cambiar este número, se desplazará la vista del diagrama de Gantt." sqref="D7" xr:uid="{D16A7913-3573-4419-885F-6CE7E5398F36}">
      <formula1>0</formula1>
    </dataValidation>
    <dataValidation type="list" allowBlank="1" showInputMessage="1" sqref="D11 D18 D24 D30" xr:uid="{0B6ABC7B-6278-4423-89D2-4688D2C4A0AD}">
      <formula1>"Objetivo,Hito,Según lo previsto, Riesgo bajo, Riesgo medio, Riesgo alto"</formula1>
    </dataValidation>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arra de desplazamiento 1">
              <controlPr defaultSize="0" autoPict="0" altText="Barra de desplazamiento para desplazarse por la escala de tiempo del proyecto Ghantt.">
                <anchor moveWithCells="1">
                  <from>
                    <xdr:col>12</xdr:col>
                    <xdr:colOff>25400</xdr:colOff>
                    <xdr:row>7</xdr:row>
                    <xdr:rowOff>63500</xdr:rowOff>
                  </from>
                  <to>
                    <xdr:col>78</xdr:col>
                    <xdr:colOff>558800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904B0EB-5DB2-41B8-8483-66DBD796B736}">
            <x14:dataBar minLength="0" maxLength="100" gradient="0">
              <x14:cfvo type="num">
                <xm:f>0</xm:f>
              </x14:cfvo>
              <x14:cfvo type="num">
                <xm:f>1</xm:f>
              </x14:cfvo>
              <x14:negativeFillColor rgb="FFFF0000"/>
              <x14:axisColor rgb="FF000000"/>
            </x14:dataBar>
          </x14:cfRule>
          <xm:sqref>H10:H43</xm:sqref>
        </x14:conditionalFormatting>
        <x14:conditionalFormatting xmlns:xm="http://schemas.microsoft.com/office/excel/2006/main">
          <x14:cfRule type="iconSet" priority="34" id="{E42B4787-4F04-45B2-AC23-9D115F4DEAF4}">
            <x14:iconSet iconSet="3Stars" showValue="0" custom="1">
              <x14:cfvo type="percent">
                <xm:f>0</xm:f>
              </x14:cfvo>
              <x14:cfvo type="num">
                <xm:f>1</xm:f>
              </x14:cfvo>
              <x14:cfvo type="num">
                <xm:f>2</xm:f>
              </x14:cfvo>
              <x14:cfIcon iconSet="NoIcons" iconId="0"/>
              <x14:cfIcon iconSet="3Flags" iconId="1"/>
              <x14:cfIcon iconSet="3Signs" iconId="0"/>
            </x14:iconSet>
          </x14:cfRule>
          <xm:sqref>M11:BP32</xm:sqref>
        </x14:conditionalFormatting>
        <x14:conditionalFormatting xmlns:xm="http://schemas.microsoft.com/office/excel/2006/main">
          <x14:cfRule type="iconSet" priority="40" id="{60DF9526-CA73-4D25-9044-454C388146D1}">
            <x14:iconSet iconSet="3Stars" showValue="0" custom="1">
              <x14:cfvo type="percent">
                <xm:f>0</xm:f>
              </x14:cfvo>
              <x14:cfvo type="num">
                <xm:f>1</xm:f>
              </x14:cfvo>
              <x14:cfvo type="num">
                <xm:f>2</xm:f>
              </x14:cfvo>
              <x14:cfIcon iconSet="NoIcons" iconId="0"/>
              <x14:cfIcon iconSet="3Flags" iconId="1"/>
              <x14:cfIcon iconSet="3Signs" iconId="0"/>
            </x14:iconSet>
          </x14:cfRule>
          <x14:cfRule type="iconSet" priority="46" id="{21D0139F-E67D-4237-86C2-CF73C51C3BBD}">
            <x14:iconSet iconSet="3Stars" showValue="0" custom="1">
              <x14:cfvo type="percent">
                <xm:f>0</xm:f>
              </x14:cfvo>
              <x14:cfvo type="num">
                <xm:f>1</xm:f>
              </x14:cfvo>
              <x14:cfvo type="num">
                <xm:f>2</xm:f>
              </x14:cfvo>
              <x14:cfIcon iconSet="NoIcons" iconId="0"/>
              <x14:cfIcon iconSet="3Flags" iconId="1"/>
              <x14:cfIcon iconSet="3Signs" iconId="0"/>
            </x14:iconSet>
          </x14:cfRule>
          <xm:sqref>M33:BP41</xm:sqref>
        </x14:conditionalFormatting>
        <x14:conditionalFormatting xmlns:xm="http://schemas.microsoft.com/office/excel/2006/main">
          <x14:cfRule type="iconSet" priority="52" id="{86AE8D98-D6A2-4255-BB83-2E11C22CF229}">
            <x14:iconSet iconSet="3Stars" showValue="0" custom="1">
              <x14:cfvo type="percent">
                <xm:f>0</xm:f>
              </x14:cfvo>
              <x14:cfvo type="num">
                <xm:f>1</xm:f>
              </x14:cfvo>
              <x14:cfvo type="num">
                <xm:f>2</xm:f>
              </x14:cfvo>
              <x14:cfIcon iconSet="NoIcons" iconId="0"/>
              <x14:cfIcon iconSet="3Flags" iconId="1"/>
              <x14:cfIcon iconSet="3Signs" iconId="0"/>
            </x14:iconSet>
          </x14:cfRule>
          <xm:sqref>M42:BP43</xm:sqref>
        </x14:conditionalFormatting>
        <x14:conditionalFormatting xmlns:xm="http://schemas.microsoft.com/office/excel/2006/main">
          <x14:cfRule type="iconSet" priority="15" id="{C606C6A5-1056-4750-8A28-E3C90940B251}">
            <x14:iconSet iconSet="3Stars" showValue="0" custom="1">
              <x14:cfvo type="percent">
                <xm:f>0</xm:f>
              </x14:cfvo>
              <x14:cfvo type="num">
                <xm:f>1</xm:f>
              </x14:cfvo>
              <x14:cfvo type="num">
                <xm:f>2</xm:f>
              </x14:cfvo>
              <x14:cfIcon iconSet="NoIcons" iconId="0"/>
              <x14:cfIcon iconSet="3Flags" iconId="1"/>
              <x14:cfIcon iconSet="3Signs" iconId="0"/>
            </x14:iconSet>
          </x14:cfRule>
          <xm:sqref>M44:BP44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597F3-4348-4BFB-9D5D-915B53A57CB0}">
  <dimension ref="A1:M17"/>
  <sheetViews>
    <sheetView showGridLines="0" tabSelected="1" topLeftCell="A3" zoomScale="70" zoomScaleNormal="70" workbookViewId="0">
      <pane xSplit="2" ySplit="6" topLeftCell="C9" activePane="bottomRight" state="frozen"/>
      <selection pane="topRight" activeCell="C3" sqref="C3"/>
      <selection pane="bottomLeft" activeCell="A9" sqref="A9"/>
      <selection pane="bottomRight" activeCell="A9" sqref="A9"/>
    </sheetView>
  </sheetViews>
  <sheetFormatPr baseColWidth="10" defaultColWidth="11.5" defaultRowHeight="15" x14ac:dyDescent="0.2"/>
  <cols>
    <col min="1" max="1" width="21.1640625" bestFit="1" customWidth="1"/>
    <col min="2" max="2" width="32.6640625" customWidth="1"/>
    <col min="3" max="3" width="32.6640625" style="2" customWidth="1"/>
    <col min="4" max="9" width="32.6640625" customWidth="1"/>
    <col min="10" max="11" width="32.6640625" style="3" customWidth="1"/>
    <col min="12" max="12" width="30.83203125" customWidth="1"/>
    <col min="13" max="13" width="22.33203125" customWidth="1"/>
  </cols>
  <sheetData>
    <row r="1" spans="1:13" ht="19" x14ac:dyDescent="0.25">
      <c r="A1" s="158" t="s">
        <v>0</v>
      </c>
      <c r="B1" s="158"/>
    </row>
    <row r="2" spans="1:13" ht="19" x14ac:dyDescent="0.25">
      <c r="A2" s="158" t="s">
        <v>1</v>
      </c>
      <c r="B2" s="158"/>
    </row>
    <row r="3" spans="1:13" ht="24" x14ac:dyDescent="0.3">
      <c r="A3" s="1"/>
      <c r="C3" s="159" t="s">
        <v>53</v>
      </c>
      <c r="D3" s="159"/>
      <c r="E3" s="159"/>
      <c r="F3" s="159"/>
      <c r="G3" s="159"/>
      <c r="H3" s="159"/>
      <c r="I3" s="159"/>
      <c r="J3" s="159"/>
      <c r="K3" s="16"/>
    </row>
    <row r="4" spans="1:13" ht="20" thickBot="1" x14ac:dyDescent="0.3">
      <c r="A4" s="1"/>
    </row>
    <row r="5" spans="1:13" ht="16" thickBot="1" x14ac:dyDescent="0.25">
      <c r="F5" s="14" t="s">
        <v>66</v>
      </c>
      <c r="G5" s="15">
        <v>0.75</v>
      </c>
    </row>
    <row r="7" spans="1:13" ht="16" thickBot="1" x14ac:dyDescent="0.25"/>
    <row r="8" spans="1:13" ht="32" x14ac:dyDescent="0.2">
      <c r="A8" s="4" t="s">
        <v>2</v>
      </c>
      <c r="B8" s="5" t="s">
        <v>3</v>
      </c>
      <c r="C8" s="5" t="s">
        <v>4</v>
      </c>
      <c r="D8" s="6" t="s">
        <v>5</v>
      </c>
      <c r="E8" s="6" t="s">
        <v>6</v>
      </c>
      <c r="F8" s="6" t="s">
        <v>7</v>
      </c>
      <c r="G8" s="6" t="s">
        <v>8</v>
      </c>
      <c r="H8" s="6" t="s">
        <v>9</v>
      </c>
      <c r="I8" s="6" t="s">
        <v>10</v>
      </c>
      <c r="J8" s="6" t="s">
        <v>11</v>
      </c>
      <c r="K8" s="133" t="s">
        <v>103</v>
      </c>
      <c r="L8" s="133" t="s">
        <v>100</v>
      </c>
      <c r="M8" s="133" t="s">
        <v>101</v>
      </c>
    </row>
    <row r="9" spans="1:13" ht="64" x14ac:dyDescent="0.2">
      <c r="A9" s="11" t="s">
        <v>12</v>
      </c>
      <c r="B9" s="12" t="s">
        <v>13</v>
      </c>
      <c r="C9" s="12" t="s">
        <v>14</v>
      </c>
      <c r="D9" s="13" t="s">
        <v>15</v>
      </c>
      <c r="E9" s="13" t="s">
        <v>16</v>
      </c>
      <c r="F9" s="13" t="s">
        <v>17</v>
      </c>
      <c r="G9" s="13" t="s">
        <v>18</v>
      </c>
      <c r="H9" s="13" t="s">
        <v>19</v>
      </c>
      <c r="I9" s="13" t="s">
        <v>20</v>
      </c>
      <c r="J9" s="13" t="s">
        <v>21</v>
      </c>
      <c r="K9" s="17"/>
      <c r="L9" s="17" t="s">
        <v>99</v>
      </c>
      <c r="M9" s="17" t="s">
        <v>102</v>
      </c>
    </row>
    <row r="10" spans="1:13" ht="48" x14ac:dyDescent="0.2">
      <c r="A10" s="7" t="s">
        <v>12</v>
      </c>
      <c r="B10" s="8" t="s">
        <v>13</v>
      </c>
      <c r="C10" s="8" t="s">
        <v>22</v>
      </c>
      <c r="D10" s="10" t="s">
        <v>23</v>
      </c>
      <c r="E10" s="10" t="s">
        <v>24</v>
      </c>
      <c r="F10" s="10" t="s">
        <v>25</v>
      </c>
      <c r="G10" s="10" t="s">
        <v>26</v>
      </c>
      <c r="H10" s="10" t="s">
        <v>19</v>
      </c>
      <c r="I10" s="10" t="s">
        <v>20</v>
      </c>
      <c r="J10" s="10" t="s">
        <v>21</v>
      </c>
      <c r="K10" s="134"/>
    </row>
    <row r="11" spans="1:13" ht="144.75" customHeight="1" x14ac:dyDescent="0.2">
      <c r="A11" s="11" t="s">
        <v>28</v>
      </c>
      <c r="B11" s="12" t="s">
        <v>29</v>
      </c>
      <c r="C11" s="12" t="s">
        <v>22</v>
      </c>
      <c r="D11" s="13" t="s">
        <v>27</v>
      </c>
      <c r="E11" s="13" t="s">
        <v>56</v>
      </c>
      <c r="F11" s="13" t="s">
        <v>54</v>
      </c>
      <c r="G11" s="13" t="s">
        <v>55</v>
      </c>
      <c r="H11" s="13" t="s">
        <v>57</v>
      </c>
      <c r="I11" s="13" t="s">
        <v>59</v>
      </c>
      <c r="J11" s="13" t="s">
        <v>58</v>
      </c>
      <c r="K11" s="135"/>
    </row>
    <row r="12" spans="1:13" ht="64" x14ac:dyDescent="0.2">
      <c r="A12" s="7" t="s">
        <v>30</v>
      </c>
      <c r="B12" s="8" t="s">
        <v>31</v>
      </c>
      <c r="C12" s="8" t="s">
        <v>22</v>
      </c>
      <c r="D12" s="10" t="s">
        <v>32</v>
      </c>
      <c r="E12" s="10" t="s">
        <v>60</v>
      </c>
      <c r="F12" s="10" t="s">
        <v>70</v>
      </c>
      <c r="G12" s="10" t="s">
        <v>62</v>
      </c>
      <c r="H12" s="10" t="s">
        <v>33</v>
      </c>
      <c r="I12" s="10"/>
      <c r="J12" s="10" t="s">
        <v>61</v>
      </c>
      <c r="K12" s="134"/>
    </row>
    <row r="13" spans="1:13" ht="90" customHeight="1" x14ac:dyDescent="0.2">
      <c r="A13" s="168" t="s">
        <v>28</v>
      </c>
      <c r="B13" s="163" t="s">
        <v>34</v>
      </c>
      <c r="C13" s="163" t="s">
        <v>22</v>
      </c>
      <c r="D13" s="13" t="s">
        <v>35</v>
      </c>
      <c r="E13" s="160" t="s">
        <v>63</v>
      </c>
      <c r="F13" s="163" t="s">
        <v>64</v>
      </c>
      <c r="G13" s="13" t="s">
        <v>36</v>
      </c>
      <c r="H13" s="13" t="s">
        <v>65</v>
      </c>
      <c r="I13" s="165" t="s">
        <v>71</v>
      </c>
      <c r="J13" s="13"/>
      <c r="K13" s="135"/>
    </row>
    <row r="14" spans="1:13" ht="48" x14ac:dyDescent="0.2">
      <c r="A14" s="169"/>
      <c r="B14" s="171"/>
      <c r="C14" s="171"/>
      <c r="D14" s="13" t="s">
        <v>37</v>
      </c>
      <c r="E14" s="161"/>
      <c r="F14" s="164"/>
      <c r="G14" s="13" t="s">
        <v>38</v>
      </c>
      <c r="H14" s="13" t="s">
        <v>33</v>
      </c>
      <c r="I14" s="166"/>
      <c r="J14" s="13"/>
      <c r="K14" s="135"/>
    </row>
    <row r="15" spans="1:13" ht="32" x14ac:dyDescent="0.2">
      <c r="A15" s="170"/>
      <c r="B15" s="164"/>
      <c r="C15" s="164"/>
      <c r="D15" s="13" t="s">
        <v>39</v>
      </c>
      <c r="E15" s="162"/>
      <c r="F15" s="13" t="s">
        <v>40</v>
      </c>
      <c r="G15" s="13" t="s">
        <v>41</v>
      </c>
      <c r="H15" s="13" t="s">
        <v>33</v>
      </c>
      <c r="I15" s="167"/>
      <c r="J15" s="13"/>
      <c r="K15" s="135"/>
    </row>
    <row r="16" spans="1:13" ht="112" x14ac:dyDescent="0.2">
      <c r="A16" s="7" t="s">
        <v>43</v>
      </c>
      <c r="B16" s="9" t="s">
        <v>44</v>
      </c>
      <c r="C16" s="9" t="s">
        <v>42</v>
      </c>
      <c r="D16" s="10" t="s">
        <v>45</v>
      </c>
      <c r="E16" s="10" t="s">
        <v>46</v>
      </c>
      <c r="F16" s="10" t="s">
        <v>47</v>
      </c>
      <c r="G16" s="10" t="s">
        <v>72</v>
      </c>
      <c r="H16" s="10" t="s">
        <v>67</v>
      </c>
      <c r="I16" s="10" t="s">
        <v>68</v>
      </c>
      <c r="J16" s="10"/>
      <c r="K16" s="134"/>
    </row>
    <row r="17" spans="1:11" ht="112" x14ac:dyDescent="0.2">
      <c r="A17" s="11" t="s">
        <v>48</v>
      </c>
      <c r="B17" s="12" t="s">
        <v>69</v>
      </c>
      <c r="C17" s="12" t="s">
        <v>42</v>
      </c>
      <c r="D17" s="13" t="s">
        <v>49</v>
      </c>
      <c r="E17" s="13" t="s">
        <v>50</v>
      </c>
      <c r="F17" s="13" t="s">
        <v>51</v>
      </c>
      <c r="G17" s="13" t="s">
        <v>52</v>
      </c>
      <c r="H17" s="13" t="s">
        <v>19</v>
      </c>
      <c r="I17" s="13"/>
      <c r="J17" s="13"/>
      <c r="K17" s="135"/>
    </row>
  </sheetData>
  <mergeCells count="9">
    <mergeCell ref="A1:B1"/>
    <mergeCell ref="A2:B2"/>
    <mergeCell ref="C3:J3"/>
    <mergeCell ref="E13:E15"/>
    <mergeCell ref="F13:F14"/>
    <mergeCell ref="I13:I15"/>
    <mergeCell ref="A13:A15"/>
    <mergeCell ref="B13:B15"/>
    <mergeCell ref="C13:C1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3C0-F7B2-4864-A901-1AFBB8AACF85}">
  <dimension ref="A3:C10"/>
  <sheetViews>
    <sheetView workbookViewId="0">
      <selection activeCell="A4" sqref="A4"/>
    </sheetView>
  </sheetViews>
  <sheetFormatPr baseColWidth="10" defaultColWidth="11.5" defaultRowHeight="15" x14ac:dyDescent="0.2"/>
  <cols>
    <col min="1" max="1" width="15.83203125" bestFit="1" customWidth="1"/>
    <col min="2" max="2" width="18.6640625" bestFit="1" customWidth="1"/>
    <col min="3" max="3" width="18.5" bestFit="1" customWidth="1"/>
    <col min="4" max="4" width="6.5" bestFit="1" customWidth="1"/>
    <col min="5" max="5" width="20.83203125" bestFit="1" customWidth="1"/>
    <col min="6" max="6" width="7" bestFit="1" customWidth="1"/>
    <col min="7" max="7" width="6.5" bestFit="1" customWidth="1"/>
    <col min="8" max="8" width="26.1640625" bestFit="1" customWidth="1"/>
    <col min="9" max="9" width="25.83203125" bestFit="1" customWidth="1"/>
  </cols>
  <sheetData>
    <row r="3" spans="1:3" x14ac:dyDescent="0.2">
      <c r="A3" s="138" t="s">
        <v>125</v>
      </c>
      <c r="B3" t="s">
        <v>128</v>
      </c>
      <c r="C3" t="s">
        <v>126</v>
      </c>
    </row>
    <row r="4" spans="1:3" x14ac:dyDescent="0.2">
      <c r="A4" s="139" t="s">
        <v>113</v>
      </c>
      <c r="B4" s="172">
        <v>3</v>
      </c>
      <c r="C4" s="137">
        <v>0.39999999999999997</v>
      </c>
    </row>
    <row r="5" spans="1:3" x14ac:dyDescent="0.2">
      <c r="A5" s="140" t="s">
        <v>119</v>
      </c>
      <c r="B5" s="172">
        <v>3</v>
      </c>
      <c r="C5" s="137">
        <v>0.39999999999999997</v>
      </c>
    </row>
    <row r="6" spans="1:3" x14ac:dyDescent="0.2">
      <c r="A6" s="139" t="s">
        <v>114</v>
      </c>
      <c r="B6" s="172">
        <v>1</v>
      </c>
      <c r="C6" s="137">
        <v>0</v>
      </c>
    </row>
    <row r="7" spans="1:3" x14ac:dyDescent="0.2">
      <c r="A7" s="140" t="s">
        <v>120</v>
      </c>
      <c r="B7" s="172">
        <v>1</v>
      </c>
      <c r="C7" s="137">
        <v>0</v>
      </c>
    </row>
    <row r="8" spans="1:3" x14ac:dyDescent="0.2">
      <c r="A8" s="139" t="s">
        <v>115</v>
      </c>
      <c r="B8" s="172">
        <v>2</v>
      </c>
      <c r="C8" s="137">
        <v>0.3</v>
      </c>
    </row>
    <row r="9" spans="1:3" x14ac:dyDescent="0.2">
      <c r="A9" s="140" t="s">
        <v>121</v>
      </c>
      <c r="B9" s="172">
        <v>2</v>
      </c>
      <c r="C9" s="137">
        <v>0.3</v>
      </c>
    </row>
    <row r="10" spans="1:3" x14ac:dyDescent="0.2">
      <c r="A10" s="139" t="s">
        <v>127</v>
      </c>
      <c r="B10" s="172">
        <v>6</v>
      </c>
      <c r="C10" s="137">
        <v>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Flujograma</vt:lpstr>
      <vt:lpstr>Tabla Requerimientos y Progreso</vt:lpstr>
      <vt:lpstr>Template de Plan</vt:lpstr>
      <vt:lpstr>Gantt de Progreso</vt:lpstr>
      <vt:lpstr>Plan General</vt:lpstr>
      <vt:lpstr>Dashboard de Requerimientos</vt:lpstr>
      <vt:lpstr>'Gantt de Progreso'!Incremento_de_desplazamiento</vt:lpstr>
      <vt:lpstr>'Gantt de Progreso'!Inicio_del_proyecto</vt:lpstr>
      <vt:lpstr>'Gantt de Progreso'!Títulos_a_imprimir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estuardo cojulun</dc:creator>
  <cp:keywords/>
  <dc:description/>
  <cp:lastModifiedBy>Jose Cisneros</cp:lastModifiedBy>
  <cp:revision/>
  <dcterms:created xsi:type="dcterms:W3CDTF">2021-02-25T12:12:39Z</dcterms:created>
  <dcterms:modified xsi:type="dcterms:W3CDTF">2026-06-06T03:50:16Z</dcterms:modified>
  <cp:category/>
  <cp:contentStatus/>
</cp:coreProperties>
</file>